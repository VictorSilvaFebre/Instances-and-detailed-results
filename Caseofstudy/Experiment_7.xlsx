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PYTHON/Corridas finales servidor/Case of study/"/>
    </mc:Choice>
  </mc:AlternateContent>
  <xr:revisionPtr revIDLastSave="503" documentId="8_{1DBCED1D-8C9A-4346-A497-3E6BF50A2B33}" xr6:coauthVersionLast="47" xr6:coauthVersionMax="47" xr10:uidLastSave="{8A9B1CCE-092B-4B42-BFC8-C30994DFB7FB}"/>
  <bookViews>
    <workbookView xWindow="-120" yWindow="-120" windowWidth="38640" windowHeight="21120" firstSheet="1" activeTab="1" xr2:uid="{00000000-000D-0000-FFFF-FFFF00000000}"/>
  </bookViews>
  <sheets>
    <sheet name="B" sheetId="1" r:id="rId1"/>
    <sheet name="d" sheetId="9" r:id="rId2"/>
    <sheet name="Hoja2" sheetId="23" r:id="rId3"/>
    <sheet name="coordenadas" sheetId="10" r:id="rId4"/>
    <sheet name="CMATRIX" sheetId="21" r:id="rId5"/>
    <sheet name="N" sheetId="2" r:id="rId6"/>
    <sheet name="V" sheetId="3" r:id="rId7"/>
    <sheet name="M" sheetId="4" r:id="rId8"/>
    <sheet name="P" sheetId="5" r:id="rId9"/>
    <sheet name="capacidades" sheetId="6" r:id="rId10"/>
    <sheet name="compartimentos" sheetId="7" r:id="rId11"/>
    <sheet name="RAW DATA" sheetId="11" r:id="rId12"/>
    <sheet name="RAW DATA FILTER" sheetId="12" r:id="rId13"/>
    <sheet name="Sheet1" sheetId="13" r:id="rId14"/>
    <sheet name="50" sheetId="16" r:id="rId15"/>
    <sheet name="45" sheetId="19" r:id="rId16"/>
    <sheet name="40" sheetId="17" r:id="rId17"/>
    <sheet name="35" sheetId="20" r:id="rId18"/>
    <sheet name="30" sheetId="18" r:id="rId19"/>
    <sheet name="25" sheetId="14" r:id="rId20"/>
    <sheet name="18" sheetId="15" r:id="rId21"/>
  </sheets>
  <definedNames>
    <definedName name="_xlnm._FilterDatabase" localSheetId="3" hidden="1">coordenadas!$A$3:$A$13</definedName>
    <definedName name="_xlnm._FilterDatabase" localSheetId="11" hidden="1">'RAW DATA'!$A$1:$A$403</definedName>
    <definedName name="_xlnm._FilterDatabase" localSheetId="12" hidden="1">'RAW DATA FILTER'!#REF!</definedName>
    <definedName name="_xlnm._FilterDatabase" localSheetId="13" hidden="1">Sheet1!$A$1:$K$213</definedName>
    <definedName name="_xlchart.v1.0" hidden="1">Sheet1!$G$1</definedName>
    <definedName name="_xlchart.v1.1" hidden="1">Sheet1!$G$2:$G$212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8" l="1"/>
  <c r="F33" i="18"/>
  <c r="E34" i="18"/>
  <c r="F34" i="18"/>
  <c r="D34" i="18"/>
  <c r="D33" i="18"/>
  <c r="E32" i="18"/>
  <c r="F32" i="18"/>
  <c r="D32" i="18"/>
  <c r="J5" i="23"/>
  <c r="I3" i="23"/>
  <c r="I4" i="23"/>
  <c r="I5" i="23"/>
  <c r="I2" i="23"/>
  <c r="G3" i="23"/>
  <c r="G4" i="23"/>
  <c r="G5" i="23"/>
  <c r="G2" i="23"/>
  <c r="L2" i="15" a="1"/>
  <c r="L2" i="15" s="1"/>
  <c r="L2" i="14" a="1"/>
  <c r="L2" i="14" s="1"/>
  <c r="L2" i="20" a="1"/>
  <c r="L2" i="20" s="1"/>
  <c r="L2" i="17" a="1"/>
  <c r="L2" i="17" s="1"/>
  <c r="L2" i="19" a="1"/>
  <c r="L2" i="19" s="1"/>
  <c r="M2" i="15" a="1"/>
  <c r="M2" i="15" s="1"/>
  <c r="M2" i="14" a="1"/>
  <c r="M2" i="14" s="1"/>
  <c r="M2" i="18" a="1"/>
  <c r="M2" i="18" s="1"/>
  <c r="M2" i="20" a="1"/>
  <c r="M2" i="20" s="1"/>
  <c r="M2" i="17" a="1"/>
  <c r="M2" i="17" s="1"/>
  <c r="M2" i="19" a="1"/>
  <c r="M2" i="19" s="1"/>
  <c r="L2" i="16" a="1"/>
  <c r="L2" i="16" s="1"/>
  <c r="M2" i="16" a="1"/>
  <c r="M2" i="16" s="1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K37" i="19"/>
  <c r="J37" i="19"/>
  <c r="K36" i="19"/>
  <c r="J36" i="19"/>
  <c r="K35" i="19"/>
  <c r="J35" i="19"/>
  <c r="K34" i="19"/>
  <c r="J34" i="19"/>
  <c r="K33" i="19"/>
  <c r="J33" i="19"/>
  <c r="K32" i="19"/>
  <c r="J32" i="19"/>
  <c r="K31" i="19"/>
  <c r="J31" i="19"/>
  <c r="K30" i="19"/>
  <c r="J30" i="19"/>
  <c r="K29" i="19"/>
  <c r="J29" i="19"/>
  <c r="K28" i="19"/>
  <c r="J28" i="19"/>
  <c r="K27" i="19"/>
  <c r="J27" i="19"/>
  <c r="K26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31" i="14"/>
  <c r="J31" i="14"/>
  <c r="K30" i="14"/>
  <c r="J30" i="14"/>
  <c r="K29" i="14"/>
  <c r="J29" i="14"/>
  <c r="K28" i="14"/>
  <c r="J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41" i="17"/>
  <c r="J41" i="17"/>
  <c r="K40" i="17"/>
  <c r="J40" i="17"/>
  <c r="K39" i="17"/>
  <c r="J39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1" i="17"/>
  <c r="J21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51" i="16"/>
  <c r="J51" i="16"/>
  <c r="K50" i="16"/>
  <c r="J50" i="16"/>
  <c r="K49" i="16"/>
  <c r="J49" i="16"/>
  <c r="K48" i="16"/>
  <c r="J48" i="16"/>
  <c r="K47" i="16"/>
  <c r="J47" i="16"/>
  <c r="K46" i="16"/>
  <c r="J46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3" i="13"/>
  <c r="K4" i="13"/>
  <c r="K5" i="13"/>
  <c r="K6" i="13"/>
  <c r="K7" i="13"/>
  <c r="K8" i="13"/>
  <c r="K102" i="13"/>
  <c r="K9" i="13"/>
  <c r="K10" i="13"/>
  <c r="K11" i="13"/>
  <c r="K103" i="13"/>
  <c r="K12" i="13"/>
  <c r="K104" i="13"/>
  <c r="K13" i="13"/>
  <c r="K14" i="13"/>
  <c r="K15" i="13"/>
  <c r="K16" i="13"/>
  <c r="K105" i="13"/>
  <c r="K106" i="13"/>
  <c r="K17" i="13"/>
  <c r="K18" i="13"/>
  <c r="K19" i="13"/>
  <c r="K20" i="13"/>
  <c r="K21" i="13"/>
  <c r="K22" i="13"/>
  <c r="K23" i="13"/>
  <c r="K24" i="13"/>
  <c r="K107" i="13"/>
  <c r="K25" i="13"/>
  <c r="K26" i="13"/>
  <c r="K108" i="13"/>
  <c r="K109" i="13"/>
  <c r="K110" i="13"/>
  <c r="K27" i="13"/>
  <c r="K111" i="13"/>
  <c r="K28" i="13"/>
  <c r="K112" i="13"/>
  <c r="K29" i="13"/>
  <c r="K30" i="13"/>
  <c r="K113" i="13"/>
  <c r="K114" i="13"/>
  <c r="K31" i="13"/>
  <c r="K32" i="13"/>
  <c r="K33" i="13"/>
  <c r="K34" i="13"/>
  <c r="K115" i="13"/>
  <c r="K35" i="13"/>
  <c r="K116" i="13"/>
  <c r="K36" i="13"/>
  <c r="K37" i="13"/>
  <c r="K38" i="13"/>
  <c r="K39" i="13"/>
  <c r="K40" i="13"/>
  <c r="K117" i="13"/>
  <c r="K41" i="13"/>
  <c r="K42" i="13"/>
  <c r="K43" i="13"/>
  <c r="K118" i="13"/>
  <c r="K44" i="13"/>
  <c r="K119" i="13"/>
  <c r="K120" i="13"/>
  <c r="K45" i="13"/>
  <c r="K121" i="13"/>
  <c r="K46" i="13"/>
  <c r="K47" i="13"/>
  <c r="K48" i="13"/>
  <c r="K122" i="13"/>
  <c r="K123" i="13"/>
  <c r="K49" i="13"/>
  <c r="K50" i="13"/>
  <c r="K124" i="13"/>
  <c r="K125" i="13"/>
  <c r="K51" i="13"/>
  <c r="K126" i="13"/>
  <c r="K52" i="13"/>
  <c r="K127" i="13"/>
  <c r="K128" i="13"/>
  <c r="K129" i="13"/>
  <c r="K53" i="13"/>
  <c r="K130" i="13"/>
  <c r="K131" i="13"/>
  <c r="K54" i="13"/>
  <c r="K55" i="13"/>
  <c r="K132" i="13"/>
  <c r="K133" i="13"/>
  <c r="K134" i="13"/>
  <c r="K135" i="13"/>
  <c r="K56" i="13"/>
  <c r="K136" i="13"/>
  <c r="K57" i="13"/>
  <c r="K137" i="13"/>
  <c r="K58" i="13"/>
  <c r="K138" i="13"/>
  <c r="K139" i="13"/>
  <c r="K59" i="13"/>
  <c r="K140" i="13"/>
  <c r="K141" i="13"/>
  <c r="K60" i="13"/>
  <c r="K142" i="13"/>
  <c r="K143" i="13"/>
  <c r="K61" i="13"/>
  <c r="K62" i="13"/>
  <c r="K144" i="13"/>
  <c r="K145" i="13"/>
  <c r="K146" i="13"/>
  <c r="K147" i="13"/>
  <c r="K148" i="13"/>
  <c r="K149" i="13"/>
  <c r="K150" i="13"/>
  <c r="K151" i="13"/>
  <c r="K63" i="13"/>
  <c r="K152" i="13"/>
  <c r="K153" i="13"/>
  <c r="K154" i="13"/>
  <c r="K64" i="13"/>
  <c r="K155" i="13"/>
  <c r="K156" i="13"/>
  <c r="K65" i="13"/>
  <c r="K157" i="13"/>
  <c r="K158" i="13"/>
  <c r="K66" i="13"/>
  <c r="K159" i="13"/>
  <c r="K160" i="13"/>
  <c r="K67" i="13"/>
  <c r="K68" i="13"/>
  <c r="K69" i="13"/>
  <c r="K161" i="13"/>
  <c r="K162" i="13"/>
  <c r="K163" i="13"/>
  <c r="K164" i="13"/>
  <c r="K165" i="13"/>
  <c r="K166" i="13"/>
  <c r="K167" i="13"/>
  <c r="K168" i="13"/>
  <c r="K70" i="13"/>
  <c r="K169" i="13"/>
  <c r="K170" i="13"/>
  <c r="K71" i="13"/>
  <c r="K171" i="13"/>
  <c r="K72" i="13"/>
  <c r="K172" i="13"/>
  <c r="K73" i="13"/>
  <c r="K74" i="13"/>
  <c r="K75" i="13"/>
  <c r="K76" i="13"/>
  <c r="K173" i="13"/>
  <c r="K77" i="13"/>
  <c r="K174" i="13"/>
  <c r="K175" i="13"/>
  <c r="K78" i="13"/>
  <c r="K176" i="13"/>
  <c r="K177" i="13"/>
  <c r="K178" i="13"/>
  <c r="K179" i="13"/>
  <c r="K180" i="13"/>
  <c r="K79" i="13"/>
  <c r="K181" i="13"/>
  <c r="K182" i="13"/>
  <c r="K183" i="13"/>
  <c r="K184" i="13"/>
  <c r="K185" i="13"/>
  <c r="K186" i="13"/>
  <c r="K80" i="13"/>
  <c r="K81" i="13"/>
  <c r="K187" i="13"/>
  <c r="K82" i="13"/>
  <c r="K188" i="13"/>
  <c r="K83" i="13"/>
  <c r="K84" i="13"/>
  <c r="K189" i="13"/>
  <c r="K190" i="13"/>
  <c r="K191" i="13"/>
  <c r="K192" i="13"/>
  <c r="K193" i="13"/>
  <c r="K85" i="13"/>
  <c r="K194" i="13"/>
  <c r="K86" i="13"/>
  <c r="K195" i="13"/>
  <c r="K196" i="13"/>
  <c r="K197" i="13"/>
  <c r="K198" i="13"/>
  <c r="K87" i="13"/>
  <c r="K88" i="13"/>
  <c r="K199" i="13"/>
  <c r="K89" i="13"/>
  <c r="K200" i="13"/>
  <c r="K201" i="13"/>
  <c r="K202" i="13"/>
  <c r="K203" i="13"/>
  <c r="K90" i="13"/>
  <c r="K91" i="13"/>
  <c r="K204" i="13"/>
  <c r="K205" i="13"/>
  <c r="K92" i="13"/>
  <c r="K93" i="13"/>
  <c r="K206" i="13"/>
  <c r="K94" i="13"/>
  <c r="K207" i="13"/>
  <c r="K208" i="13"/>
  <c r="K95" i="13"/>
  <c r="K209" i="13"/>
  <c r="K96" i="13"/>
  <c r="K97" i="13"/>
  <c r="K210" i="13"/>
  <c r="K98" i="13"/>
  <c r="K211" i="13"/>
  <c r="K99" i="13"/>
  <c r="K100" i="13"/>
  <c r="K212" i="13"/>
  <c r="K2" i="13"/>
  <c r="K101" i="13"/>
  <c r="J101" i="13"/>
  <c r="J110" i="13"/>
  <c r="J27" i="13"/>
  <c r="J111" i="13"/>
  <c r="J28" i="13"/>
  <c r="J112" i="13"/>
  <c r="J29" i="13"/>
  <c r="J30" i="13"/>
  <c r="J113" i="13"/>
  <c r="J114" i="13"/>
  <c r="J31" i="13"/>
  <c r="J32" i="13"/>
  <c r="J33" i="13"/>
  <c r="J34" i="13"/>
  <c r="J115" i="13"/>
  <c r="J35" i="13"/>
  <c r="J116" i="13"/>
  <c r="J36" i="13"/>
  <c r="J37" i="13"/>
  <c r="J38" i="13"/>
  <c r="J39" i="13"/>
  <c r="J40" i="13"/>
  <c r="J117" i="13"/>
  <c r="J41" i="13"/>
  <c r="J42" i="13"/>
  <c r="J43" i="13"/>
  <c r="J118" i="13"/>
  <c r="J44" i="13"/>
  <c r="J119" i="13"/>
  <c r="J120" i="13"/>
  <c r="J45" i="13"/>
  <c r="J121" i="13"/>
  <c r="J46" i="13"/>
  <c r="J47" i="13"/>
  <c r="J48" i="13"/>
  <c r="J122" i="13"/>
  <c r="J123" i="13"/>
  <c r="J49" i="13"/>
  <c r="J50" i="13"/>
  <c r="J124" i="13"/>
  <c r="J125" i="13"/>
  <c r="J51" i="13"/>
  <c r="J126" i="13"/>
  <c r="J52" i="13"/>
  <c r="J127" i="13"/>
  <c r="J128" i="13"/>
  <c r="J129" i="13"/>
  <c r="J53" i="13"/>
  <c r="J130" i="13"/>
  <c r="J131" i="13"/>
  <c r="J54" i="13"/>
  <c r="J55" i="13"/>
  <c r="J132" i="13"/>
  <c r="J133" i="13"/>
  <c r="J134" i="13"/>
  <c r="J135" i="13"/>
  <c r="J56" i="13"/>
  <c r="J136" i="13"/>
  <c r="J57" i="13"/>
  <c r="J137" i="13"/>
  <c r="J58" i="13"/>
  <c r="J138" i="13"/>
  <c r="J139" i="13"/>
  <c r="J59" i="13"/>
  <c r="J140" i="13"/>
  <c r="J141" i="13"/>
  <c r="J60" i="13"/>
  <c r="J142" i="13"/>
  <c r="J143" i="13"/>
  <c r="J61" i="13"/>
  <c r="J62" i="13"/>
  <c r="J144" i="13"/>
  <c r="J145" i="13"/>
  <c r="J146" i="13"/>
  <c r="J147" i="13"/>
  <c r="J148" i="13"/>
  <c r="J149" i="13"/>
  <c r="J150" i="13"/>
  <c r="J151" i="13"/>
  <c r="J63" i="13"/>
  <c r="J152" i="13"/>
  <c r="J153" i="13"/>
  <c r="J154" i="13"/>
  <c r="J64" i="13"/>
  <c r="J155" i="13"/>
  <c r="J156" i="13"/>
  <c r="J65" i="13"/>
  <c r="J157" i="13"/>
  <c r="J158" i="13"/>
  <c r="J66" i="13"/>
  <c r="J159" i="13"/>
  <c r="J160" i="13"/>
  <c r="J67" i="13"/>
  <c r="J68" i="13"/>
  <c r="J69" i="13"/>
  <c r="J161" i="13"/>
  <c r="J162" i="13"/>
  <c r="J163" i="13"/>
  <c r="J164" i="13"/>
  <c r="J165" i="13"/>
  <c r="J166" i="13"/>
  <c r="J167" i="13"/>
  <c r="J168" i="13"/>
  <c r="J70" i="13"/>
  <c r="J169" i="13"/>
  <c r="J170" i="13"/>
  <c r="J71" i="13"/>
  <c r="J171" i="13"/>
  <c r="J72" i="13"/>
  <c r="J172" i="13"/>
  <c r="J73" i="13"/>
  <c r="J74" i="13"/>
  <c r="J75" i="13"/>
  <c r="J76" i="13"/>
  <c r="J173" i="13"/>
  <c r="J77" i="13"/>
  <c r="J174" i="13"/>
  <c r="J175" i="13"/>
  <c r="J78" i="13"/>
  <c r="J176" i="13"/>
  <c r="J177" i="13"/>
  <c r="J178" i="13"/>
  <c r="J179" i="13"/>
  <c r="J180" i="13"/>
  <c r="J79" i="13"/>
  <c r="J181" i="13"/>
  <c r="J182" i="13"/>
  <c r="J183" i="13"/>
  <c r="J184" i="13"/>
  <c r="J185" i="13"/>
  <c r="J186" i="13"/>
  <c r="J80" i="13"/>
  <c r="J81" i="13"/>
  <c r="J187" i="13"/>
  <c r="J82" i="13"/>
  <c r="J188" i="13"/>
  <c r="J83" i="13"/>
  <c r="J84" i="13"/>
  <c r="J189" i="13"/>
  <c r="J190" i="13"/>
  <c r="J191" i="13"/>
  <c r="J192" i="13"/>
  <c r="J193" i="13"/>
  <c r="J85" i="13"/>
  <c r="J194" i="13"/>
  <c r="J86" i="13"/>
  <c r="J195" i="13"/>
  <c r="J196" i="13"/>
  <c r="J197" i="13"/>
  <c r="J198" i="13"/>
  <c r="J87" i="13"/>
  <c r="J88" i="13"/>
  <c r="J199" i="13"/>
  <c r="J89" i="13"/>
  <c r="J200" i="13"/>
  <c r="J201" i="13"/>
  <c r="J202" i="13"/>
  <c r="J203" i="13"/>
  <c r="J90" i="13"/>
  <c r="J91" i="13"/>
  <c r="J204" i="13"/>
  <c r="J205" i="13"/>
  <c r="J92" i="13"/>
  <c r="J93" i="13"/>
  <c r="J206" i="13"/>
  <c r="J94" i="13"/>
  <c r="J207" i="13"/>
  <c r="J208" i="13"/>
  <c r="J95" i="13"/>
  <c r="J209" i="13"/>
  <c r="J96" i="13"/>
  <c r="J97" i="13"/>
  <c r="J210" i="13"/>
  <c r="J98" i="13"/>
  <c r="J211" i="13"/>
  <c r="J99" i="13"/>
  <c r="J100" i="13"/>
  <c r="J212" i="13"/>
  <c r="J11" i="13"/>
  <c r="J103" i="13"/>
  <c r="J12" i="13"/>
  <c r="J104" i="13"/>
  <c r="J13" i="13"/>
  <c r="J14" i="13"/>
  <c r="J15" i="13"/>
  <c r="J16" i="13"/>
  <c r="J105" i="13"/>
  <c r="J106" i="13"/>
  <c r="J17" i="13"/>
  <c r="J18" i="13"/>
  <c r="J19" i="13"/>
  <c r="J20" i="13"/>
  <c r="J21" i="13"/>
  <c r="J22" i="13"/>
  <c r="J23" i="13"/>
  <c r="J24" i="13"/>
  <c r="J107" i="13"/>
  <c r="J25" i="13"/>
  <c r="J26" i="13"/>
  <c r="J108" i="13"/>
  <c r="J109" i="13"/>
  <c r="J2" i="13"/>
  <c r="J3" i="13"/>
  <c r="J4" i="13"/>
  <c r="J5" i="13"/>
  <c r="J6" i="13"/>
  <c r="J7" i="13"/>
  <c r="J8" i="13"/>
  <c r="J102" i="13"/>
  <c r="J9" i="13"/>
  <c r="J10" i="13"/>
  <c r="G213" i="13"/>
  <c r="J2" i="12" a="1"/>
  <c r="J2" i="12" s="1"/>
  <c r="K2" i="12" a="1"/>
  <c r="K2" i="12" s="1"/>
  <c r="G213" i="12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" i="11"/>
  <c r="S18" i="11"/>
  <c r="S34" i="11"/>
  <c r="S50" i="11"/>
  <c r="S66" i="11"/>
  <c r="S82" i="11"/>
  <c r="S98" i="11"/>
  <c r="S114" i="11"/>
  <c r="S130" i="11"/>
  <c r="S146" i="11"/>
  <c r="S162" i="11"/>
  <c r="S178" i="11"/>
  <c r="S194" i="11"/>
  <c r="S210" i="11"/>
  <c r="S226" i="11"/>
  <c r="S242" i="11"/>
  <c r="S258" i="11"/>
  <c r="R15" i="11"/>
  <c r="R31" i="11"/>
  <c r="R47" i="11"/>
  <c r="R63" i="11"/>
  <c r="R79" i="11"/>
  <c r="R95" i="11"/>
  <c r="R111" i="11"/>
  <c r="R127" i="11"/>
  <c r="R143" i="11"/>
  <c r="R159" i="11"/>
  <c r="R175" i="11"/>
  <c r="R191" i="11"/>
  <c r="R207" i="11"/>
  <c r="R223" i="11"/>
  <c r="R239" i="11"/>
  <c r="R255" i="11"/>
  <c r="M2" i="11" a="1"/>
  <c r="M2" i="11" s="1"/>
  <c r="P2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2" i="11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  <c r="L2" i="18" l="1" a="1"/>
  <c r="L2" i="18" s="1"/>
  <c r="R256" i="11"/>
  <c r="R240" i="11"/>
  <c r="R224" i="11"/>
  <c r="R208" i="11"/>
  <c r="R192" i="11"/>
  <c r="R176" i="11"/>
  <c r="R160" i="11"/>
  <c r="R144" i="11"/>
  <c r="R128" i="11"/>
  <c r="R112" i="11"/>
  <c r="R96" i="11"/>
  <c r="R80" i="11"/>
  <c r="R64" i="11"/>
  <c r="R48" i="11"/>
  <c r="R32" i="11"/>
  <c r="R16" i="11"/>
  <c r="S259" i="11"/>
  <c r="S243" i="11"/>
  <c r="S227" i="11"/>
  <c r="S211" i="11"/>
  <c r="S195" i="11"/>
  <c r="S179" i="11"/>
  <c r="S163" i="11"/>
  <c r="S147" i="11"/>
  <c r="S131" i="11"/>
  <c r="S115" i="11"/>
  <c r="S99" i="11"/>
  <c r="S83" i="11"/>
  <c r="S67" i="11"/>
  <c r="S51" i="11"/>
  <c r="S35" i="11"/>
  <c r="S19" i="11"/>
  <c r="R254" i="11"/>
  <c r="R238" i="11"/>
  <c r="R222" i="11"/>
  <c r="R206" i="11"/>
  <c r="R190" i="11"/>
  <c r="R174" i="11"/>
  <c r="R158" i="11"/>
  <c r="R142" i="11"/>
  <c r="R126" i="11"/>
  <c r="R110" i="11"/>
  <c r="R94" i="11"/>
  <c r="R78" i="11"/>
  <c r="R62" i="11"/>
  <c r="R46" i="11"/>
  <c r="R30" i="11"/>
  <c r="R14" i="11"/>
  <c r="S257" i="11"/>
  <c r="S241" i="11"/>
  <c r="S225" i="11"/>
  <c r="S209" i="11"/>
  <c r="S193" i="11"/>
  <c r="S177" i="11"/>
  <c r="S161" i="11"/>
  <c r="S145" i="11"/>
  <c r="S129" i="11"/>
  <c r="S113" i="11"/>
  <c r="S97" i="11"/>
  <c r="S81" i="11"/>
  <c r="S65" i="11"/>
  <c r="S49" i="11"/>
  <c r="S33" i="11"/>
  <c r="S17" i="11"/>
  <c r="R253" i="11"/>
  <c r="R237" i="11"/>
  <c r="R221" i="11"/>
  <c r="R205" i="11"/>
  <c r="R189" i="11"/>
  <c r="R173" i="11"/>
  <c r="R157" i="11"/>
  <c r="R141" i="11"/>
  <c r="R125" i="11"/>
  <c r="R109" i="11"/>
  <c r="R93" i="11"/>
  <c r="R77" i="11"/>
  <c r="R61" i="11"/>
  <c r="R45" i="11"/>
  <c r="R29" i="11"/>
  <c r="R13" i="11"/>
  <c r="S256" i="11"/>
  <c r="S240" i="11"/>
  <c r="S224" i="11"/>
  <c r="S208" i="11"/>
  <c r="S192" i="11"/>
  <c r="S176" i="11"/>
  <c r="S160" i="11"/>
  <c r="S144" i="11"/>
  <c r="S128" i="11"/>
  <c r="S112" i="11"/>
  <c r="S96" i="11"/>
  <c r="S80" i="11"/>
  <c r="S64" i="11"/>
  <c r="S48" i="11"/>
  <c r="S32" i="11"/>
  <c r="S16" i="11"/>
  <c r="R252" i="11"/>
  <c r="R236" i="11"/>
  <c r="R220" i="11"/>
  <c r="R204" i="11"/>
  <c r="R188" i="11"/>
  <c r="R172" i="11"/>
  <c r="R156" i="11"/>
  <c r="R140" i="11"/>
  <c r="R124" i="11"/>
  <c r="R108" i="11"/>
  <c r="R92" i="11"/>
  <c r="R76" i="11"/>
  <c r="R60" i="11"/>
  <c r="R44" i="11"/>
  <c r="R28" i="11"/>
  <c r="R12" i="11"/>
  <c r="S255" i="11"/>
  <c r="S239" i="11"/>
  <c r="S223" i="11"/>
  <c r="S207" i="11"/>
  <c r="S191" i="11"/>
  <c r="S175" i="11"/>
  <c r="S159" i="11"/>
  <c r="S143" i="11"/>
  <c r="S127" i="11"/>
  <c r="S111" i="11"/>
  <c r="S95" i="11"/>
  <c r="S79" i="11"/>
  <c r="S63" i="11"/>
  <c r="S47" i="11"/>
  <c r="S31" i="11"/>
  <c r="S15" i="11"/>
  <c r="R251" i="11"/>
  <c r="R235" i="11"/>
  <c r="R219" i="11"/>
  <c r="R203" i="11"/>
  <c r="R187" i="11"/>
  <c r="R171" i="11"/>
  <c r="R155" i="11"/>
  <c r="R139" i="11"/>
  <c r="R123" i="11"/>
  <c r="R107" i="11"/>
  <c r="R91" i="11"/>
  <c r="R75" i="11"/>
  <c r="R59" i="11"/>
  <c r="R43" i="11"/>
  <c r="R27" i="11"/>
  <c r="R11" i="11"/>
  <c r="S254" i="11"/>
  <c r="S238" i="11"/>
  <c r="S222" i="11"/>
  <c r="S206" i="11"/>
  <c r="S190" i="11"/>
  <c r="S174" i="11"/>
  <c r="S158" i="11"/>
  <c r="S142" i="11"/>
  <c r="S126" i="11"/>
  <c r="S110" i="11"/>
  <c r="S94" i="11"/>
  <c r="S78" i="11"/>
  <c r="S62" i="11"/>
  <c r="S46" i="11"/>
  <c r="S30" i="11"/>
  <c r="S14" i="11"/>
  <c r="R250" i="11"/>
  <c r="R234" i="11"/>
  <c r="R218" i="11"/>
  <c r="R202" i="11"/>
  <c r="R186" i="11"/>
  <c r="R170" i="11"/>
  <c r="R154" i="11"/>
  <c r="R138" i="11"/>
  <c r="R122" i="11"/>
  <c r="R106" i="11"/>
  <c r="R90" i="11"/>
  <c r="R74" i="11"/>
  <c r="R58" i="11"/>
  <c r="R42" i="11"/>
  <c r="R26" i="11"/>
  <c r="R10" i="11"/>
  <c r="S253" i="11"/>
  <c r="S237" i="11"/>
  <c r="S221" i="11"/>
  <c r="S205" i="11"/>
  <c r="S189" i="11"/>
  <c r="S173" i="11"/>
  <c r="S157" i="11"/>
  <c r="S141" i="11"/>
  <c r="S125" i="11"/>
  <c r="S109" i="11"/>
  <c r="S93" i="11"/>
  <c r="S77" i="11"/>
  <c r="S61" i="11"/>
  <c r="S45" i="11"/>
  <c r="S29" i="11"/>
  <c r="S13" i="11"/>
  <c r="R249" i="11"/>
  <c r="R233" i="11"/>
  <c r="R217" i="11"/>
  <c r="R201" i="11"/>
  <c r="R185" i="11"/>
  <c r="R169" i="11"/>
  <c r="R153" i="11"/>
  <c r="R137" i="11"/>
  <c r="R121" i="11"/>
  <c r="R105" i="11"/>
  <c r="R89" i="11"/>
  <c r="R73" i="11"/>
  <c r="R57" i="11"/>
  <c r="R41" i="11"/>
  <c r="R25" i="11"/>
  <c r="R9" i="11"/>
  <c r="S252" i="11"/>
  <c r="S236" i="11"/>
  <c r="S220" i="11"/>
  <c r="S204" i="11"/>
  <c r="S188" i="11"/>
  <c r="S172" i="11"/>
  <c r="S156" i="11"/>
  <c r="S140" i="11"/>
  <c r="S124" i="11"/>
  <c r="S108" i="11"/>
  <c r="S92" i="11"/>
  <c r="S76" i="11"/>
  <c r="S60" i="11"/>
  <c r="S44" i="11"/>
  <c r="S28" i="11"/>
  <c r="S12" i="11"/>
  <c r="R248" i="11"/>
  <c r="R232" i="11"/>
  <c r="R216" i="11"/>
  <c r="R200" i="11"/>
  <c r="R184" i="11"/>
  <c r="R168" i="11"/>
  <c r="R152" i="11"/>
  <c r="R136" i="11"/>
  <c r="R120" i="11"/>
  <c r="R104" i="11"/>
  <c r="R88" i="11"/>
  <c r="R72" i="11"/>
  <c r="R56" i="11"/>
  <c r="R40" i="11"/>
  <c r="R24" i="11"/>
  <c r="R8" i="11"/>
  <c r="S251" i="11"/>
  <c r="S235" i="11"/>
  <c r="S219" i="11"/>
  <c r="S203" i="11"/>
  <c r="S187" i="11"/>
  <c r="S171" i="11"/>
  <c r="S155" i="11"/>
  <c r="S139" i="11"/>
  <c r="S123" i="11"/>
  <c r="S107" i="11"/>
  <c r="S91" i="11"/>
  <c r="S75" i="11"/>
  <c r="S59" i="11"/>
  <c r="S43" i="11"/>
  <c r="S27" i="11"/>
  <c r="S11" i="11"/>
  <c r="R247" i="11"/>
  <c r="R231" i="11"/>
  <c r="R215" i="11"/>
  <c r="R199" i="11"/>
  <c r="R183" i="11"/>
  <c r="R167" i="11"/>
  <c r="R151" i="11"/>
  <c r="R135" i="11"/>
  <c r="R119" i="11"/>
  <c r="R103" i="11"/>
  <c r="R87" i="11"/>
  <c r="R71" i="11"/>
  <c r="R55" i="11"/>
  <c r="R39" i="11"/>
  <c r="R23" i="11"/>
  <c r="R7" i="11"/>
  <c r="S250" i="11"/>
  <c r="S234" i="11"/>
  <c r="S218" i="11"/>
  <c r="S202" i="11"/>
  <c r="S186" i="11"/>
  <c r="S170" i="11"/>
  <c r="S154" i="11"/>
  <c r="S138" i="11"/>
  <c r="S122" i="11"/>
  <c r="S106" i="11"/>
  <c r="S90" i="11"/>
  <c r="S74" i="11"/>
  <c r="S58" i="11"/>
  <c r="S42" i="11"/>
  <c r="S26" i="11"/>
  <c r="S10" i="11"/>
  <c r="R2" i="11"/>
  <c r="R246" i="11"/>
  <c r="R230" i="11"/>
  <c r="R214" i="11"/>
  <c r="R198" i="11"/>
  <c r="R182" i="11"/>
  <c r="R166" i="11"/>
  <c r="R150" i="11"/>
  <c r="R134" i="11"/>
  <c r="R118" i="11"/>
  <c r="R102" i="11"/>
  <c r="R86" i="11"/>
  <c r="R70" i="11"/>
  <c r="R54" i="11"/>
  <c r="R38" i="11"/>
  <c r="R22" i="11"/>
  <c r="R6" i="11"/>
  <c r="S249" i="11"/>
  <c r="S233" i="11"/>
  <c r="S217" i="11"/>
  <c r="S201" i="11"/>
  <c r="S185" i="11"/>
  <c r="S169" i="11"/>
  <c r="S153" i="11"/>
  <c r="S137" i="11"/>
  <c r="S121" i="11"/>
  <c r="S105" i="11"/>
  <c r="S89" i="11"/>
  <c r="S73" i="11"/>
  <c r="S57" i="11"/>
  <c r="S41" i="11"/>
  <c r="S25" i="11"/>
  <c r="S9" i="11"/>
  <c r="R3" i="11"/>
  <c r="R245" i="11"/>
  <c r="R229" i="11"/>
  <c r="R213" i="11"/>
  <c r="R197" i="11"/>
  <c r="R181" i="11"/>
  <c r="R165" i="11"/>
  <c r="R149" i="11"/>
  <c r="R133" i="11"/>
  <c r="R117" i="11"/>
  <c r="R101" i="11"/>
  <c r="R85" i="11"/>
  <c r="R69" i="11"/>
  <c r="R53" i="11"/>
  <c r="R37" i="11"/>
  <c r="R21" i="11"/>
  <c r="R5" i="11"/>
  <c r="S248" i="11"/>
  <c r="S232" i="11"/>
  <c r="S216" i="11"/>
  <c r="S200" i="11"/>
  <c r="S184" i="11"/>
  <c r="S168" i="11"/>
  <c r="S152" i="11"/>
  <c r="S136" i="11"/>
  <c r="S120" i="11"/>
  <c r="S104" i="11"/>
  <c r="S88" i="11"/>
  <c r="S72" i="11"/>
  <c r="S56" i="11"/>
  <c r="S40" i="11"/>
  <c r="S24" i="11"/>
  <c r="S8" i="11"/>
  <c r="R260" i="11"/>
  <c r="R244" i="11"/>
  <c r="R228" i="11"/>
  <c r="R212" i="11"/>
  <c r="R196" i="11"/>
  <c r="R180" i="11"/>
  <c r="R164" i="11"/>
  <c r="R148" i="11"/>
  <c r="R132" i="11"/>
  <c r="R116" i="11"/>
  <c r="R100" i="11"/>
  <c r="R84" i="11"/>
  <c r="R68" i="11"/>
  <c r="R52" i="11"/>
  <c r="R36" i="11"/>
  <c r="R20" i="11"/>
  <c r="R4" i="11"/>
  <c r="S247" i="11"/>
  <c r="S231" i="11"/>
  <c r="S215" i="11"/>
  <c r="S199" i="11"/>
  <c r="S183" i="11"/>
  <c r="S167" i="11"/>
  <c r="S151" i="11"/>
  <c r="S135" i="11"/>
  <c r="S119" i="11"/>
  <c r="S103" i="11"/>
  <c r="S87" i="11"/>
  <c r="S71" i="11"/>
  <c r="S55" i="11"/>
  <c r="S39" i="11"/>
  <c r="S23" i="11"/>
  <c r="S7" i="11"/>
  <c r="R259" i="11"/>
  <c r="R243" i="11"/>
  <c r="R227" i="11"/>
  <c r="R211" i="11"/>
  <c r="R195" i="11"/>
  <c r="R179" i="11"/>
  <c r="R163" i="11"/>
  <c r="R147" i="11"/>
  <c r="R131" i="11"/>
  <c r="R115" i="11"/>
  <c r="R99" i="11"/>
  <c r="R83" i="11"/>
  <c r="R67" i="11"/>
  <c r="R51" i="11"/>
  <c r="R35" i="11"/>
  <c r="R19" i="11"/>
  <c r="S2" i="11"/>
  <c r="S246" i="11"/>
  <c r="S230" i="11"/>
  <c r="S214" i="11"/>
  <c r="S198" i="11"/>
  <c r="S182" i="11"/>
  <c r="S166" i="11"/>
  <c r="S150" i="11"/>
  <c r="S134" i="11"/>
  <c r="S118" i="11"/>
  <c r="S102" i="11"/>
  <c r="S86" i="11"/>
  <c r="S70" i="11"/>
  <c r="S54" i="11"/>
  <c r="S38" i="11"/>
  <c r="S22" i="11"/>
  <c r="S6" i="11"/>
  <c r="R258" i="11"/>
  <c r="R242" i="11"/>
  <c r="R226" i="11"/>
  <c r="R210" i="11"/>
  <c r="R194" i="11"/>
  <c r="R178" i="11"/>
  <c r="R162" i="11"/>
  <c r="R146" i="11"/>
  <c r="R130" i="11"/>
  <c r="R114" i="11"/>
  <c r="R98" i="11"/>
  <c r="R82" i="11"/>
  <c r="R66" i="11"/>
  <c r="R50" i="11"/>
  <c r="R34" i="11"/>
  <c r="R18" i="11"/>
  <c r="S3" i="11"/>
  <c r="S245" i="11"/>
  <c r="S229" i="11"/>
  <c r="S213" i="11"/>
  <c r="S197" i="11"/>
  <c r="S181" i="11"/>
  <c r="S165" i="11"/>
  <c r="S149" i="11"/>
  <c r="S133" i="11"/>
  <c r="S117" i="11"/>
  <c r="S101" i="11"/>
  <c r="S85" i="11"/>
  <c r="S69" i="11"/>
  <c r="S53" i="11"/>
  <c r="S37" i="11"/>
  <c r="S21" i="11"/>
  <c r="S5" i="11"/>
  <c r="R257" i="11"/>
  <c r="R241" i="11"/>
  <c r="R225" i="11"/>
  <c r="R209" i="11"/>
  <c r="R193" i="11"/>
  <c r="R177" i="11"/>
  <c r="R161" i="11"/>
  <c r="R145" i="11"/>
  <c r="R129" i="11"/>
  <c r="R113" i="11"/>
  <c r="R97" i="11"/>
  <c r="R81" i="11"/>
  <c r="R65" i="11"/>
  <c r="R49" i="11"/>
  <c r="R33" i="11"/>
  <c r="R17" i="11"/>
  <c r="S260" i="11"/>
  <c r="S244" i="11"/>
  <c r="S228" i="11"/>
  <c r="S212" i="11"/>
  <c r="S196" i="11"/>
  <c r="S180" i="11"/>
  <c r="S164" i="11"/>
  <c r="S148" i="11"/>
  <c r="S132" i="11"/>
  <c r="S116" i="11"/>
  <c r="S100" i="11"/>
  <c r="S84" i="11"/>
  <c r="S68" i="11"/>
  <c r="S52" i="11"/>
  <c r="S36" i="11"/>
  <c r="S20" i="11"/>
  <c r="S4" i="11"/>
  <c r="N251" i="11"/>
  <c r="N236" i="11"/>
  <c r="N123" i="11"/>
  <c r="N108" i="11"/>
  <c r="P257" i="11"/>
  <c r="O250" i="11"/>
  <c r="P193" i="11"/>
  <c r="O186" i="11"/>
  <c r="P129" i="11"/>
  <c r="O122" i="11"/>
  <c r="P65" i="11"/>
  <c r="O58" i="11"/>
  <c r="N252" i="11"/>
  <c r="N124" i="11"/>
  <c r="O258" i="11"/>
  <c r="O194" i="11"/>
  <c r="O130" i="11"/>
  <c r="O66" i="11"/>
  <c r="N235" i="11"/>
  <c r="N107" i="11"/>
  <c r="P249" i="11"/>
  <c r="P185" i="11"/>
  <c r="P121" i="11"/>
  <c r="P57" i="11"/>
  <c r="N220" i="11"/>
  <c r="N92" i="11"/>
  <c r="O242" i="11"/>
  <c r="O178" i="11"/>
  <c r="O114" i="11"/>
  <c r="O50" i="11"/>
  <c r="N219" i="11"/>
  <c r="N91" i="11"/>
  <c r="P241" i="11"/>
  <c r="P177" i="11"/>
  <c r="P113" i="11"/>
  <c r="P49" i="11"/>
  <c r="N204" i="11"/>
  <c r="N76" i="11"/>
  <c r="O234" i="11"/>
  <c r="O170" i="11"/>
  <c r="O106" i="11"/>
  <c r="O42" i="11"/>
  <c r="N203" i="11"/>
  <c r="N75" i="11"/>
  <c r="P233" i="11"/>
  <c r="P169" i="11"/>
  <c r="P105" i="11"/>
  <c r="P41" i="11"/>
  <c r="N188" i="11"/>
  <c r="N60" i="11"/>
  <c r="O226" i="11"/>
  <c r="O162" i="11"/>
  <c r="O98" i="11"/>
  <c r="O34" i="11"/>
  <c r="N187" i="11"/>
  <c r="N59" i="11"/>
  <c r="P225" i="11"/>
  <c r="P161" i="11"/>
  <c r="P97" i="11"/>
  <c r="P33" i="11"/>
  <c r="N172" i="11"/>
  <c r="N44" i="11"/>
  <c r="O218" i="11"/>
  <c r="O154" i="11"/>
  <c r="O90" i="11"/>
  <c r="O26" i="11"/>
  <c r="N171" i="11"/>
  <c r="N43" i="11"/>
  <c r="P217" i="11"/>
  <c r="P153" i="11"/>
  <c r="P89" i="11"/>
  <c r="P25" i="11"/>
  <c r="N156" i="11"/>
  <c r="N28" i="11"/>
  <c r="O210" i="11"/>
  <c r="O146" i="11"/>
  <c r="O82" i="11"/>
  <c r="O18" i="11"/>
  <c r="N155" i="11"/>
  <c r="N27" i="11"/>
  <c r="P209" i="11"/>
  <c r="P145" i="11"/>
  <c r="P81" i="11"/>
  <c r="P17" i="11"/>
  <c r="N140" i="11"/>
  <c r="N12" i="11"/>
  <c r="O202" i="11"/>
  <c r="O138" i="11"/>
  <c r="O74" i="11"/>
  <c r="O10" i="11"/>
  <c r="N139" i="11"/>
  <c r="N11" i="11"/>
  <c r="P201" i="11"/>
  <c r="P137" i="11"/>
  <c r="P73" i="11"/>
  <c r="P9" i="11"/>
  <c r="N253" i="11"/>
  <c r="N237" i="11"/>
  <c r="N221" i="11"/>
  <c r="N205" i="11"/>
  <c r="N189" i="11"/>
  <c r="N173" i="11"/>
  <c r="N157" i="11"/>
  <c r="N141" i="11"/>
  <c r="N125" i="11"/>
  <c r="N109" i="11"/>
  <c r="N93" i="11"/>
  <c r="N77" i="11"/>
  <c r="N61" i="11"/>
  <c r="N45" i="11"/>
  <c r="N29" i="11"/>
  <c r="N13" i="11"/>
  <c r="P258" i="11"/>
  <c r="P250" i="11"/>
  <c r="P242" i="11"/>
  <c r="P234" i="11"/>
  <c r="P226" i="11"/>
  <c r="P218" i="11"/>
  <c r="P210" i="11"/>
  <c r="P202" i="11"/>
  <c r="P194" i="11"/>
  <c r="P186" i="11"/>
  <c r="P178" i="11"/>
  <c r="P170" i="11"/>
  <c r="P162" i="11"/>
  <c r="P154" i="11"/>
  <c r="P146" i="11"/>
  <c r="P138" i="11"/>
  <c r="P130" i="11"/>
  <c r="P122" i="11"/>
  <c r="P114" i="11"/>
  <c r="P106" i="11"/>
  <c r="P98" i="11"/>
  <c r="P90" i="11"/>
  <c r="P82" i="11"/>
  <c r="P74" i="11"/>
  <c r="P66" i="11"/>
  <c r="P58" i="11"/>
  <c r="P50" i="11"/>
  <c r="P42" i="11"/>
  <c r="P34" i="11"/>
  <c r="P26" i="11"/>
  <c r="P18" i="11"/>
  <c r="P10" i="11"/>
  <c r="N250" i="11"/>
  <c r="N234" i="11"/>
  <c r="N218" i="11"/>
  <c r="N202" i="11"/>
  <c r="N186" i="11"/>
  <c r="N170" i="11"/>
  <c r="N154" i="11"/>
  <c r="N138" i="11"/>
  <c r="N122" i="11"/>
  <c r="N106" i="11"/>
  <c r="N90" i="11"/>
  <c r="N74" i="11"/>
  <c r="N58" i="11"/>
  <c r="N42" i="11"/>
  <c r="N26" i="11"/>
  <c r="N10" i="11"/>
  <c r="O257" i="11"/>
  <c r="O249" i="11"/>
  <c r="O241" i="11"/>
  <c r="O233" i="11"/>
  <c r="O225" i="11"/>
  <c r="O217" i="11"/>
  <c r="O209" i="11"/>
  <c r="O201" i="11"/>
  <c r="O193" i="11"/>
  <c r="O185" i="11"/>
  <c r="O177" i="11"/>
  <c r="O169" i="11"/>
  <c r="O161" i="11"/>
  <c r="O153" i="11"/>
  <c r="O145" i="11"/>
  <c r="O137" i="11"/>
  <c r="O129" i="11"/>
  <c r="O121" i="11"/>
  <c r="O113" i="11"/>
  <c r="O105" i="11"/>
  <c r="O97" i="11"/>
  <c r="O89" i="11"/>
  <c r="O81" i="11"/>
  <c r="O73" i="11"/>
  <c r="O65" i="11"/>
  <c r="O57" i="11"/>
  <c r="O49" i="11"/>
  <c r="O41" i="11"/>
  <c r="O33" i="11"/>
  <c r="O25" i="11"/>
  <c r="O17" i="11"/>
  <c r="O9" i="11"/>
  <c r="N249" i="11"/>
  <c r="N233" i="11"/>
  <c r="N217" i="11"/>
  <c r="N201" i="11"/>
  <c r="N185" i="11"/>
  <c r="N169" i="11"/>
  <c r="N153" i="11"/>
  <c r="N137" i="11"/>
  <c r="N121" i="11"/>
  <c r="N105" i="11"/>
  <c r="N89" i="11"/>
  <c r="N73" i="11"/>
  <c r="N57" i="11"/>
  <c r="N41" i="11"/>
  <c r="N25" i="11"/>
  <c r="N9" i="11"/>
  <c r="P256" i="11"/>
  <c r="P248" i="11"/>
  <c r="P240" i="11"/>
  <c r="P232" i="11"/>
  <c r="P224" i="11"/>
  <c r="P216" i="11"/>
  <c r="P208" i="11"/>
  <c r="P200" i="11"/>
  <c r="P192" i="11"/>
  <c r="P184" i="11"/>
  <c r="P176" i="11"/>
  <c r="P168" i="11"/>
  <c r="P160" i="11"/>
  <c r="P152" i="11"/>
  <c r="P144" i="11"/>
  <c r="P136" i="11"/>
  <c r="P128" i="11"/>
  <c r="P120" i="11"/>
  <c r="P112" i="11"/>
  <c r="P104" i="11"/>
  <c r="P96" i="11"/>
  <c r="P88" i="11"/>
  <c r="P80" i="11"/>
  <c r="P72" i="11"/>
  <c r="P64" i="11"/>
  <c r="P56" i="11"/>
  <c r="P48" i="11"/>
  <c r="P40" i="11"/>
  <c r="P32" i="11"/>
  <c r="P24" i="11"/>
  <c r="P16" i="11"/>
  <c r="P8" i="11"/>
  <c r="N248" i="11"/>
  <c r="N232" i="11"/>
  <c r="N216" i="11"/>
  <c r="N200" i="11"/>
  <c r="N184" i="11"/>
  <c r="N168" i="11"/>
  <c r="N152" i="11"/>
  <c r="N136" i="11"/>
  <c r="N120" i="11"/>
  <c r="N104" i="11"/>
  <c r="N88" i="11"/>
  <c r="N72" i="11"/>
  <c r="N56" i="11"/>
  <c r="N40" i="11"/>
  <c r="N24" i="11"/>
  <c r="N8" i="11"/>
  <c r="O256" i="11"/>
  <c r="O248" i="11"/>
  <c r="O240" i="11"/>
  <c r="O232" i="11"/>
  <c r="O224" i="11"/>
  <c r="O216" i="11"/>
  <c r="O208" i="11"/>
  <c r="O200" i="11"/>
  <c r="O192" i="11"/>
  <c r="O184" i="11"/>
  <c r="O176" i="11"/>
  <c r="O168" i="11"/>
  <c r="O160" i="11"/>
  <c r="O152" i="11"/>
  <c r="O144" i="11"/>
  <c r="O136" i="11"/>
  <c r="O128" i="11"/>
  <c r="O120" i="11"/>
  <c r="O112" i="11"/>
  <c r="O104" i="11"/>
  <c r="O96" i="11"/>
  <c r="O88" i="11"/>
  <c r="O80" i="11"/>
  <c r="O72" i="11"/>
  <c r="O64" i="11"/>
  <c r="O56" i="11"/>
  <c r="O48" i="11"/>
  <c r="O40" i="11"/>
  <c r="O32" i="11"/>
  <c r="O24" i="11"/>
  <c r="O16" i="11"/>
  <c r="O8" i="11"/>
  <c r="N247" i="11"/>
  <c r="N231" i="11"/>
  <c r="N215" i="11"/>
  <c r="N199" i="11"/>
  <c r="N183" i="11"/>
  <c r="N167" i="11"/>
  <c r="N151" i="11"/>
  <c r="N135" i="11"/>
  <c r="N119" i="11"/>
  <c r="N103" i="11"/>
  <c r="N87" i="11"/>
  <c r="N71" i="11"/>
  <c r="N55" i="11"/>
  <c r="N39" i="11"/>
  <c r="N23" i="11"/>
  <c r="N7" i="11"/>
  <c r="P255" i="11"/>
  <c r="P247" i="11"/>
  <c r="P239" i="11"/>
  <c r="P231" i="11"/>
  <c r="P223" i="11"/>
  <c r="P215" i="11"/>
  <c r="P207" i="11"/>
  <c r="P199" i="11"/>
  <c r="P191" i="11"/>
  <c r="P183" i="11"/>
  <c r="P175" i="11"/>
  <c r="P167" i="11"/>
  <c r="P159" i="11"/>
  <c r="P151" i="11"/>
  <c r="P143" i="11"/>
  <c r="P135" i="11"/>
  <c r="P127" i="11"/>
  <c r="P119" i="11"/>
  <c r="P111" i="11"/>
  <c r="P103" i="11"/>
  <c r="P95" i="11"/>
  <c r="P87" i="11"/>
  <c r="P79" i="11"/>
  <c r="P71" i="11"/>
  <c r="P63" i="11"/>
  <c r="P55" i="11"/>
  <c r="P47" i="11"/>
  <c r="P39" i="11"/>
  <c r="P31" i="11"/>
  <c r="P23" i="11"/>
  <c r="P15" i="11"/>
  <c r="P7" i="11"/>
  <c r="N2" i="11"/>
  <c r="N246" i="11"/>
  <c r="N230" i="11"/>
  <c r="N214" i="11"/>
  <c r="N198" i="11"/>
  <c r="N182" i="11"/>
  <c r="N166" i="11"/>
  <c r="N150" i="11"/>
  <c r="N134" i="11"/>
  <c r="N118" i="11"/>
  <c r="N102" i="11"/>
  <c r="N86" i="11"/>
  <c r="N70" i="11"/>
  <c r="N54" i="11"/>
  <c r="N38" i="11"/>
  <c r="N22" i="11"/>
  <c r="N6" i="11"/>
  <c r="O255" i="11"/>
  <c r="O247" i="11"/>
  <c r="O239" i="11"/>
  <c r="O231" i="11"/>
  <c r="O223" i="11"/>
  <c r="O215" i="11"/>
  <c r="O207" i="11"/>
  <c r="O199" i="11"/>
  <c r="O191" i="11"/>
  <c r="O183" i="11"/>
  <c r="O175" i="11"/>
  <c r="O167" i="11"/>
  <c r="O159" i="11"/>
  <c r="O151" i="11"/>
  <c r="O143" i="11"/>
  <c r="O135" i="11"/>
  <c r="O127" i="11"/>
  <c r="O119" i="11"/>
  <c r="O111" i="11"/>
  <c r="O103" i="11"/>
  <c r="O95" i="11"/>
  <c r="O87" i="11"/>
  <c r="O79" i="11"/>
  <c r="O71" i="11"/>
  <c r="O63" i="11"/>
  <c r="O55" i="11"/>
  <c r="O47" i="11"/>
  <c r="O39" i="11"/>
  <c r="O31" i="11"/>
  <c r="O23" i="11"/>
  <c r="O15" i="11"/>
  <c r="O7" i="11"/>
  <c r="N3" i="11"/>
  <c r="N245" i="11"/>
  <c r="N229" i="11"/>
  <c r="N213" i="11"/>
  <c r="N197" i="11"/>
  <c r="N181" i="11"/>
  <c r="N165" i="11"/>
  <c r="N149" i="11"/>
  <c r="N133" i="11"/>
  <c r="N117" i="11"/>
  <c r="N101" i="11"/>
  <c r="N85" i="11"/>
  <c r="N69" i="11"/>
  <c r="N53" i="11"/>
  <c r="N37" i="11"/>
  <c r="N21" i="11"/>
  <c r="N5" i="11"/>
  <c r="P254" i="11"/>
  <c r="P246" i="11"/>
  <c r="P238" i="11"/>
  <c r="P230" i="11"/>
  <c r="P222" i="11"/>
  <c r="P214" i="11"/>
  <c r="P206" i="11"/>
  <c r="P198" i="11"/>
  <c r="P190" i="11"/>
  <c r="P182" i="11"/>
  <c r="P174" i="11"/>
  <c r="P166" i="11"/>
  <c r="P158" i="11"/>
  <c r="P150" i="11"/>
  <c r="P142" i="11"/>
  <c r="P134" i="11"/>
  <c r="P126" i="11"/>
  <c r="P118" i="11"/>
  <c r="P110" i="11"/>
  <c r="P102" i="11"/>
  <c r="P94" i="11"/>
  <c r="P86" i="11"/>
  <c r="P78" i="11"/>
  <c r="P70" i="11"/>
  <c r="P62" i="11"/>
  <c r="P54" i="11"/>
  <c r="P46" i="11"/>
  <c r="P38" i="11"/>
  <c r="P30" i="11"/>
  <c r="P22" i="11"/>
  <c r="P14" i="11"/>
  <c r="P6" i="11"/>
  <c r="N260" i="11"/>
  <c r="N244" i="11"/>
  <c r="N228" i="11"/>
  <c r="N212" i="11"/>
  <c r="N196" i="11"/>
  <c r="N180" i="11"/>
  <c r="N164" i="11"/>
  <c r="N148" i="11"/>
  <c r="N132" i="11"/>
  <c r="N116" i="11"/>
  <c r="N100" i="11"/>
  <c r="N84" i="11"/>
  <c r="N68" i="11"/>
  <c r="N52" i="11"/>
  <c r="N36" i="11"/>
  <c r="N20" i="11"/>
  <c r="N4" i="11"/>
  <c r="O254" i="11"/>
  <c r="O246" i="11"/>
  <c r="O238" i="11"/>
  <c r="O230" i="11"/>
  <c r="O222" i="11"/>
  <c r="O214" i="11"/>
  <c r="O206" i="11"/>
  <c r="O198" i="11"/>
  <c r="O190" i="11"/>
  <c r="O182" i="11"/>
  <c r="O174" i="11"/>
  <c r="O166" i="11"/>
  <c r="O158" i="11"/>
  <c r="O150" i="11"/>
  <c r="O142" i="11"/>
  <c r="O134" i="11"/>
  <c r="O126" i="11"/>
  <c r="O118" i="11"/>
  <c r="O110" i="11"/>
  <c r="O102" i="11"/>
  <c r="O94" i="11"/>
  <c r="O86" i="11"/>
  <c r="O78" i="11"/>
  <c r="O70" i="11"/>
  <c r="O62" i="11"/>
  <c r="O54" i="11"/>
  <c r="O46" i="11"/>
  <c r="O38" i="11"/>
  <c r="O30" i="11"/>
  <c r="O22" i="11"/>
  <c r="O14" i="11"/>
  <c r="O6" i="11"/>
  <c r="N259" i="11"/>
  <c r="N243" i="11"/>
  <c r="N227" i="11"/>
  <c r="N211" i="11"/>
  <c r="N195" i="11"/>
  <c r="N179" i="11"/>
  <c r="N163" i="11"/>
  <c r="N147" i="11"/>
  <c r="N131" i="11"/>
  <c r="N115" i="11"/>
  <c r="N99" i="11"/>
  <c r="N83" i="11"/>
  <c r="N67" i="11"/>
  <c r="N51" i="11"/>
  <c r="N35" i="11"/>
  <c r="N19" i="11"/>
  <c r="O2" i="11"/>
  <c r="P253" i="11"/>
  <c r="P245" i="11"/>
  <c r="P237" i="11"/>
  <c r="P229" i="11"/>
  <c r="P221" i="11"/>
  <c r="P213" i="11"/>
  <c r="P205" i="11"/>
  <c r="P197" i="11"/>
  <c r="P189" i="11"/>
  <c r="P181" i="11"/>
  <c r="P173" i="11"/>
  <c r="P165" i="11"/>
  <c r="P157" i="11"/>
  <c r="P149" i="11"/>
  <c r="P141" i="11"/>
  <c r="P133" i="11"/>
  <c r="P125" i="11"/>
  <c r="P117" i="11"/>
  <c r="P109" i="11"/>
  <c r="P101" i="11"/>
  <c r="P93" i="11"/>
  <c r="P85" i="11"/>
  <c r="P77" i="11"/>
  <c r="P69" i="11"/>
  <c r="P61" i="11"/>
  <c r="P53" i="11"/>
  <c r="P45" i="11"/>
  <c r="P37" i="11"/>
  <c r="P29" i="11"/>
  <c r="P21" i="11"/>
  <c r="P13" i="11"/>
  <c r="P5" i="11"/>
  <c r="N258" i="11"/>
  <c r="N242" i="11"/>
  <c r="N226" i="11"/>
  <c r="N210" i="11"/>
  <c r="N194" i="11"/>
  <c r="N178" i="11"/>
  <c r="N162" i="11"/>
  <c r="N146" i="11"/>
  <c r="N130" i="11"/>
  <c r="N114" i="11"/>
  <c r="N98" i="11"/>
  <c r="N82" i="11"/>
  <c r="N66" i="11"/>
  <c r="N50" i="11"/>
  <c r="N34" i="11"/>
  <c r="N18" i="11"/>
  <c r="O253" i="11"/>
  <c r="O245" i="11"/>
  <c r="O237" i="11"/>
  <c r="O229" i="11"/>
  <c r="O221" i="11"/>
  <c r="O213" i="11"/>
  <c r="O205" i="11"/>
  <c r="O197" i="11"/>
  <c r="O189" i="11"/>
  <c r="O181" i="11"/>
  <c r="O173" i="11"/>
  <c r="O165" i="11"/>
  <c r="O157" i="11"/>
  <c r="O149" i="11"/>
  <c r="O141" i="11"/>
  <c r="O133" i="11"/>
  <c r="O125" i="11"/>
  <c r="O117" i="11"/>
  <c r="O109" i="11"/>
  <c r="O101" i="11"/>
  <c r="O93" i="11"/>
  <c r="O85" i="11"/>
  <c r="O77" i="11"/>
  <c r="O69" i="11"/>
  <c r="O61" i="11"/>
  <c r="O53" i="11"/>
  <c r="O45" i="11"/>
  <c r="O37" i="11"/>
  <c r="O29" i="11"/>
  <c r="O21" i="11"/>
  <c r="O13" i="11"/>
  <c r="O5" i="11"/>
  <c r="N257" i="11"/>
  <c r="N241" i="11"/>
  <c r="N225" i="11"/>
  <c r="N209" i="11"/>
  <c r="N193" i="11"/>
  <c r="N177" i="11"/>
  <c r="N161" i="11"/>
  <c r="N145" i="11"/>
  <c r="N129" i="11"/>
  <c r="N113" i="11"/>
  <c r="N97" i="11"/>
  <c r="N81" i="11"/>
  <c r="N65" i="11"/>
  <c r="N49" i="11"/>
  <c r="N33" i="11"/>
  <c r="N17" i="11"/>
  <c r="P260" i="11"/>
  <c r="P252" i="11"/>
  <c r="P244" i="11"/>
  <c r="P236" i="11"/>
  <c r="P228" i="11"/>
  <c r="P220" i="11"/>
  <c r="P212" i="11"/>
  <c r="P204" i="11"/>
  <c r="P196" i="11"/>
  <c r="P188" i="11"/>
  <c r="P180" i="11"/>
  <c r="P172" i="11"/>
  <c r="P164" i="11"/>
  <c r="P156" i="11"/>
  <c r="P148" i="11"/>
  <c r="P140" i="11"/>
  <c r="P132" i="11"/>
  <c r="P124" i="11"/>
  <c r="P116" i="11"/>
  <c r="P108" i="11"/>
  <c r="P100" i="11"/>
  <c r="P92" i="11"/>
  <c r="P84" i="11"/>
  <c r="P76" i="11"/>
  <c r="P68" i="11"/>
  <c r="P60" i="11"/>
  <c r="P52" i="11"/>
  <c r="P44" i="11"/>
  <c r="P36" i="11"/>
  <c r="P28" i="11"/>
  <c r="P20" i="11"/>
  <c r="P12" i="11"/>
  <c r="P4" i="11"/>
  <c r="N256" i="11"/>
  <c r="N240" i="11"/>
  <c r="N224" i="11"/>
  <c r="N208" i="11"/>
  <c r="N192" i="11"/>
  <c r="N176" i="11"/>
  <c r="N160" i="11"/>
  <c r="N144" i="11"/>
  <c r="N128" i="11"/>
  <c r="N112" i="11"/>
  <c r="N96" i="11"/>
  <c r="N80" i="11"/>
  <c r="N64" i="11"/>
  <c r="N48" i="11"/>
  <c r="N32" i="11"/>
  <c r="N16" i="11"/>
  <c r="O260" i="11"/>
  <c r="O252" i="11"/>
  <c r="O244" i="11"/>
  <c r="O236" i="11"/>
  <c r="O228" i="11"/>
  <c r="O220" i="11"/>
  <c r="O212" i="11"/>
  <c r="O204" i="11"/>
  <c r="O196" i="11"/>
  <c r="O188" i="11"/>
  <c r="O180" i="11"/>
  <c r="O172" i="11"/>
  <c r="O164" i="11"/>
  <c r="O156" i="11"/>
  <c r="O148" i="11"/>
  <c r="O140" i="11"/>
  <c r="O132" i="11"/>
  <c r="O124" i="11"/>
  <c r="O116" i="11"/>
  <c r="O108" i="11"/>
  <c r="O100" i="11"/>
  <c r="O92" i="11"/>
  <c r="O84" i="11"/>
  <c r="O76" i="11"/>
  <c r="O68" i="11"/>
  <c r="O60" i="11"/>
  <c r="O52" i="11"/>
  <c r="O44" i="11"/>
  <c r="O36" i="11"/>
  <c r="O28" i="11"/>
  <c r="O20" i="11"/>
  <c r="O12" i="11"/>
  <c r="O4" i="11"/>
  <c r="N255" i="11"/>
  <c r="N239" i="11"/>
  <c r="N223" i="11"/>
  <c r="N207" i="11"/>
  <c r="N191" i="11"/>
  <c r="N175" i="11"/>
  <c r="N159" i="11"/>
  <c r="N143" i="11"/>
  <c r="N127" i="11"/>
  <c r="N111" i="11"/>
  <c r="N95" i="11"/>
  <c r="N79" i="11"/>
  <c r="N63" i="11"/>
  <c r="N47" i="11"/>
  <c r="N31" i="11"/>
  <c r="N15" i="11"/>
  <c r="P259" i="11"/>
  <c r="P251" i="11"/>
  <c r="P243" i="11"/>
  <c r="P235" i="11"/>
  <c r="P227" i="11"/>
  <c r="P219" i="11"/>
  <c r="P211" i="11"/>
  <c r="P203" i="11"/>
  <c r="P195" i="11"/>
  <c r="P187" i="11"/>
  <c r="P179" i="11"/>
  <c r="P171" i="11"/>
  <c r="P163" i="11"/>
  <c r="P155" i="11"/>
  <c r="P147" i="11"/>
  <c r="P139" i="11"/>
  <c r="P131" i="11"/>
  <c r="P123" i="11"/>
  <c r="P115" i="11"/>
  <c r="P107" i="11"/>
  <c r="P99" i="11"/>
  <c r="P91" i="11"/>
  <c r="P83" i="11"/>
  <c r="P75" i="11"/>
  <c r="P67" i="11"/>
  <c r="P59" i="11"/>
  <c r="P51" i="11"/>
  <c r="P43" i="11"/>
  <c r="P35" i="11"/>
  <c r="P27" i="11"/>
  <c r="P19" i="11"/>
  <c r="P11" i="11"/>
  <c r="P3" i="11"/>
  <c r="N254" i="11"/>
  <c r="N238" i="11"/>
  <c r="N222" i="11"/>
  <c r="N206" i="11"/>
  <c r="N190" i="11"/>
  <c r="N174" i="11"/>
  <c r="N158" i="11"/>
  <c r="N142" i="11"/>
  <c r="N126" i="11"/>
  <c r="N110" i="11"/>
  <c r="N94" i="11"/>
  <c r="N78" i="11"/>
  <c r="N62" i="11"/>
  <c r="N46" i="11"/>
  <c r="N30" i="11"/>
  <c r="N14" i="11"/>
  <c r="O259" i="11"/>
  <c r="O251" i="11"/>
  <c r="O243" i="11"/>
  <c r="O235" i="11"/>
  <c r="O227" i="11"/>
  <c r="O219" i="11"/>
  <c r="O211" i="11"/>
  <c r="O203" i="11"/>
  <c r="O195" i="11"/>
  <c r="O187" i="11"/>
  <c r="O179" i="11"/>
  <c r="O171" i="11"/>
  <c r="O163" i="11"/>
  <c r="O155" i="11"/>
  <c r="O147" i="11"/>
  <c r="O139" i="11"/>
  <c r="O131" i="11"/>
  <c r="O123" i="11"/>
  <c r="O115" i="11"/>
  <c r="O107" i="11"/>
  <c r="O99" i="11"/>
  <c r="O91" i="11"/>
  <c r="O83" i="11"/>
  <c r="O75" i="11"/>
  <c r="O67" i="11"/>
  <c r="O59" i="11"/>
  <c r="O51" i="11"/>
  <c r="O43" i="11"/>
  <c r="O35" i="11"/>
  <c r="O27" i="11"/>
  <c r="O19" i="11"/>
  <c r="O11" i="11"/>
  <c r="O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<sst xmlns="http://schemas.openxmlformats.org/spreadsheetml/2006/main" count="626" uniqueCount="30">
  <si>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</si>
  <si>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</si>
  <si>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</si>
  <si>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</si>
  <si>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</si>
  <si>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</si>
  <si>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</si>
  <si>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</si>
  <si>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</si>
  <si>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</si>
  <si>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</si>
  <si>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</si>
  <si>
    <t>ClientID</t>
  </si>
  <si>
    <t>Kg</t>
  </si>
  <si>
    <t>ProductType</t>
  </si>
  <si>
    <t>Chilled</t>
  </si>
  <si>
    <t>Dry</t>
  </si>
  <si>
    <t>Frozen</t>
  </si>
  <si>
    <t>Total Kg by Client</t>
  </si>
  <si>
    <t>Unique ClientID</t>
  </si>
  <si>
    <t>ID</t>
  </si>
  <si>
    <t>TOTAL DEMAND</t>
  </si>
  <si>
    <t>NEW ID</t>
  </si>
  <si>
    <t>transpose data</t>
  </si>
  <si>
    <t xml:space="preserve">todos los productos </t>
  </si>
  <si>
    <t xml:space="preserve">dos productos </t>
  </si>
  <si>
    <t xml:space="preserve"> Vehículo 4</t>
  </si>
  <si>
    <t xml:space="preserve"> Vehículo 19</t>
  </si>
  <si>
    <t xml:space="preserve"> Vehículo 11</t>
  </si>
  <si>
    <t xml:space="preserve"> Vehículo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</si>
</sst>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6704E3E-DA1E-458F-8EE0-50C4E63386B2}">
          <cx:tx>
            <cx:txData>
              <cx:f>_xlchart.v1.0</cx:f>
              <cx:v>TOTAL DEMAND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5</xdr:row>
      <xdr:rowOff>138112</xdr:rowOff>
    </xdr:from>
    <xdr:to>
      <xdr:col>32</xdr:col>
      <xdr:colOff>466725</xdr:colOff>
      <xdr:row>20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C2B2B2B-12AB-2B85-6CEB-FC7C64708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1925" y="190500"/>
              <a:ext cx="457200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4" sqref="A4"/>
    </sheetView>
  </sheetViews>
  <sheetFormatPr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tabSelected="1" topLeftCell="A43" workbookViewId="0">
      <selection activeCell="H65" sqref="H65"/>
    </sheetView>
  </sheetViews>
  <sheetFormatPr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B0C8-C9A2-4A0D-B528-F3D258298903}">
  <dimension ref="A1:J79"/>
  <sheetViews>
    <sheetView workbookViewId="0">
      <selection activeCell="I3" sqref="I3"/>
    </sheetView>
  </sheetViews>
  <sheetFormatPr defaultColWidth="11.42578125" defaultRowHeight="15" x14ac:dyDescent="0.25"/>
  <sheetData>
    <row r="1" spans="1:10" x14ac:dyDescent="0.25">
      <c r="A1" t="s">
        <v>4</v>
      </c>
      <c r="B1" t="s">
        <v>8</v>
      </c>
      <c r="C1" t="s">
        <v>2</v>
      </c>
    </row>
    <row r="2" spans="1:10" x14ac:dyDescent="0.25">
      <c r="A2">
        <v>1</v>
      </c>
      <c r="B2">
        <v>3</v>
      </c>
      <c r="C2">
        <v>1</v>
      </c>
      <c r="D2" t="s">
        <v>26</v>
      </c>
      <c r="F2" t="s">
        <v>26</v>
      </c>
      <c r="G2">
        <f>SUMIF($D$2:$D$79,F2,$B$2:$B$79)</f>
        <v>2635</v>
      </c>
      <c r="H2">
        <v>4360</v>
      </c>
      <c r="I2">
        <f>G2/H2</f>
        <v>0.60435779816513757</v>
      </c>
    </row>
    <row r="3" spans="1:10" x14ac:dyDescent="0.25">
      <c r="A3">
        <v>2</v>
      </c>
      <c r="B3">
        <v>4</v>
      </c>
      <c r="C3">
        <v>1</v>
      </c>
      <c r="D3" t="s">
        <v>26</v>
      </c>
      <c r="F3" t="s">
        <v>27</v>
      </c>
      <c r="G3">
        <f t="shared" ref="G3:G5" si="0">SUMIF($D$2:$D$79,F3,$B$2:$B$79)</f>
        <v>490</v>
      </c>
      <c r="H3">
        <v>1500</v>
      </c>
      <c r="I3">
        <f t="shared" ref="I3:I5" si="1">G3/H3</f>
        <v>0.32666666666666666</v>
      </c>
    </row>
    <row r="4" spans="1:10" x14ac:dyDescent="0.25">
      <c r="A4">
        <v>3</v>
      </c>
      <c r="B4">
        <v>12</v>
      </c>
      <c r="C4">
        <v>1</v>
      </c>
      <c r="D4" t="s">
        <v>27</v>
      </c>
      <c r="F4" t="s">
        <v>28</v>
      </c>
      <c r="G4">
        <f t="shared" si="0"/>
        <v>1677</v>
      </c>
      <c r="H4">
        <v>2900</v>
      </c>
      <c r="I4">
        <f t="shared" si="1"/>
        <v>0.57827586206896553</v>
      </c>
    </row>
    <row r="5" spans="1:10" x14ac:dyDescent="0.25">
      <c r="A5">
        <v>1</v>
      </c>
      <c r="B5">
        <v>6</v>
      </c>
      <c r="C5">
        <v>2</v>
      </c>
      <c r="D5" t="s">
        <v>28</v>
      </c>
      <c r="F5" t="s">
        <v>29</v>
      </c>
      <c r="G5">
        <f t="shared" si="0"/>
        <v>2429</v>
      </c>
      <c r="H5">
        <v>4360</v>
      </c>
      <c r="I5">
        <f t="shared" si="1"/>
        <v>0.55711009174311932</v>
      </c>
      <c r="J5">
        <f>(I2+I5)/2</f>
        <v>0.58073394495412844</v>
      </c>
    </row>
    <row r="6" spans="1:10" x14ac:dyDescent="0.25">
      <c r="A6">
        <v>2</v>
      </c>
      <c r="B6">
        <v>6</v>
      </c>
      <c r="C6">
        <v>2</v>
      </c>
      <c r="D6" t="s">
        <v>26</v>
      </c>
    </row>
    <row r="7" spans="1:10" x14ac:dyDescent="0.25">
      <c r="A7">
        <v>3</v>
      </c>
      <c r="B7">
        <v>14</v>
      </c>
      <c r="C7">
        <v>2</v>
      </c>
      <c r="D7" t="s">
        <v>27</v>
      </c>
    </row>
    <row r="8" spans="1:10" x14ac:dyDescent="0.25">
      <c r="A8">
        <v>1</v>
      </c>
      <c r="B8">
        <v>20</v>
      </c>
      <c r="C8">
        <v>3</v>
      </c>
      <c r="D8" t="s">
        <v>29</v>
      </c>
    </row>
    <row r="9" spans="1:10" x14ac:dyDescent="0.25">
      <c r="A9">
        <v>2</v>
      </c>
      <c r="B9">
        <v>3</v>
      </c>
      <c r="C9">
        <v>3</v>
      </c>
      <c r="D9" t="s">
        <v>28</v>
      </c>
    </row>
    <row r="10" spans="1:10" x14ac:dyDescent="0.25">
      <c r="A10">
        <v>3</v>
      </c>
      <c r="B10">
        <v>20</v>
      </c>
      <c r="C10">
        <v>3</v>
      </c>
      <c r="D10" t="s">
        <v>27</v>
      </c>
    </row>
    <row r="11" spans="1:10" x14ac:dyDescent="0.25">
      <c r="A11">
        <v>1</v>
      </c>
      <c r="B11">
        <v>21</v>
      </c>
      <c r="C11">
        <v>4</v>
      </c>
      <c r="D11" t="s">
        <v>26</v>
      </c>
    </row>
    <row r="12" spans="1:10" x14ac:dyDescent="0.25">
      <c r="A12">
        <v>2</v>
      </c>
      <c r="B12">
        <v>12</v>
      </c>
      <c r="C12">
        <v>4</v>
      </c>
      <c r="D12" t="s">
        <v>26</v>
      </c>
    </row>
    <row r="13" spans="1:10" x14ac:dyDescent="0.25">
      <c r="A13">
        <v>3</v>
      </c>
      <c r="B13">
        <v>14</v>
      </c>
      <c r="C13">
        <v>4</v>
      </c>
      <c r="D13" t="s">
        <v>27</v>
      </c>
    </row>
    <row r="14" spans="1:10" x14ac:dyDescent="0.25">
      <c r="A14">
        <v>1</v>
      </c>
      <c r="B14">
        <v>33</v>
      </c>
      <c r="C14">
        <v>5</v>
      </c>
      <c r="D14" t="s">
        <v>29</v>
      </c>
    </row>
    <row r="15" spans="1:10" x14ac:dyDescent="0.25">
      <c r="A15">
        <v>2</v>
      </c>
      <c r="B15">
        <v>11</v>
      </c>
      <c r="C15">
        <v>5</v>
      </c>
      <c r="D15" t="s">
        <v>29</v>
      </c>
    </row>
    <row r="16" spans="1:10" x14ac:dyDescent="0.25">
      <c r="A16">
        <v>3</v>
      </c>
      <c r="B16">
        <v>10</v>
      </c>
      <c r="C16">
        <v>5</v>
      </c>
      <c r="D16" t="s">
        <v>27</v>
      </c>
    </row>
    <row r="17" spans="1:4" x14ac:dyDescent="0.25">
      <c r="A17">
        <v>1</v>
      </c>
      <c r="B17">
        <v>24</v>
      </c>
      <c r="C17">
        <v>6</v>
      </c>
      <c r="D17" t="s">
        <v>27</v>
      </c>
    </row>
    <row r="18" spans="1:4" x14ac:dyDescent="0.25">
      <c r="A18">
        <v>2</v>
      </c>
      <c r="B18">
        <v>27</v>
      </c>
      <c r="C18">
        <v>6</v>
      </c>
      <c r="D18" t="s">
        <v>29</v>
      </c>
    </row>
    <row r="19" spans="1:4" x14ac:dyDescent="0.25">
      <c r="A19">
        <v>3</v>
      </c>
      <c r="B19">
        <v>9</v>
      </c>
      <c r="C19">
        <v>6</v>
      </c>
      <c r="D19" t="s">
        <v>27</v>
      </c>
    </row>
    <row r="20" spans="1:4" x14ac:dyDescent="0.25">
      <c r="A20">
        <v>1</v>
      </c>
      <c r="B20">
        <v>19</v>
      </c>
      <c r="C20">
        <v>7</v>
      </c>
      <c r="D20" t="s">
        <v>26</v>
      </c>
    </row>
    <row r="21" spans="1:4" x14ac:dyDescent="0.25">
      <c r="A21">
        <v>2</v>
      </c>
      <c r="B21">
        <v>9</v>
      </c>
      <c r="C21">
        <v>7</v>
      </c>
      <c r="D21" t="s">
        <v>28</v>
      </c>
    </row>
    <row r="22" spans="1:4" x14ac:dyDescent="0.25">
      <c r="A22">
        <v>3</v>
      </c>
      <c r="B22">
        <v>60</v>
      </c>
      <c r="C22">
        <v>7</v>
      </c>
      <c r="D22" t="s">
        <v>27</v>
      </c>
    </row>
    <row r="23" spans="1:4" x14ac:dyDescent="0.25">
      <c r="A23">
        <v>1</v>
      </c>
      <c r="B23">
        <v>52</v>
      </c>
      <c r="C23">
        <v>8</v>
      </c>
      <c r="D23" t="s">
        <v>28</v>
      </c>
    </row>
    <row r="24" spans="1:4" x14ac:dyDescent="0.25">
      <c r="A24">
        <v>2</v>
      </c>
      <c r="B24">
        <v>28</v>
      </c>
      <c r="C24">
        <v>8</v>
      </c>
      <c r="D24" t="s">
        <v>28</v>
      </c>
    </row>
    <row r="25" spans="1:4" x14ac:dyDescent="0.25">
      <c r="A25">
        <v>3</v>
      </c>
      <c r="B25">
        <v>9</v>
      </c>
      <c r="C25">
        <v>8</v>
      </c>
      <c r="D25" t="s">
        <v>27</v>
      </c>
    </row>
    <row r="26" spans="1:4" x14ac:dyDescent="0.25">
      <c r="A26">
        <v>1</v>
      </c>
      <c r="B26">
        <v>29</v>
      </c>
      <c r="C26">
        <v>9</v>
      </c>
      <c r="D26" t="s">
        <v>27</v>
      </c>
    </row>
    <row r="27" spans="1:4" x14ac:dyDescent="0.25">
      <c r="A27">
        <v>2</v>
      </c>
      <c r="B27">
        <v>71</v>
      </c>
      <c r="C27">
        <v>9</v>
      </c>
      <c r="D27" t="s">
        <v>29</v>
      </c>
    </row>
    <row r="28" spans="1:4" x14ac:dyDescent="0.25">
      <c r="A28">
        <v>3</v>
      </c>
      <c r="B28">
        <v>9</v>
      </c>
      <c r="C28">
        <v>9</v>
      </c>
      <c r="D28" t="s">
        <v>27</v>
      </c>
    </row>
    <row r="29" spans="1:4" x14ac:dyDescent="0.25">
      <c r="A29">
        <v>1</v>
      </c>
      <c r="B29">
        <v>22</v>
      </c>
      <c r="C29">
        <v>10</v>
      </c>
      <c r="D29" t="s">
        <v>27</v>
      </c>
    </row>
    <row r="30" spans="1:4" x14ac:dyDescent="0.25">
      <c r="A30">
        <v>2</v>
      </c>
      <c r="B30">
        <v>78</v>
      </c>
      <c r="C30">
        <v>10</v>
      </c>
      <c r="D30" t="s">
        <v>28</v>
      </c>
    </row>
    <row r="31" spans="1:4" x14ac:dyDescent="0.25">
      <c r="A31">
        <v>3</v>
      </c>
      <c r="B31">
        <v>18</v>
      </c>
      <c r="C31">
        <v>10</v>
      </c>
      <c r="D31" t="s">
        <v>27</v>
      </c>
    </row>
    <row r="32" spans="1:4" x14ac:dyDescent="0.25">
      <c r="A32">
        <v>1</v>
      </c>
      <c r="B32">
        <v>2</v>
      </c>
      <c r="C32">
        <v>11</v>
      </c>
      <c r="D32" t="s">
        <v>29</v>
      </c>
    </row>
    <row r="33" spans="1:4" x14ac:dyDescent="0.25">
      <c r="A33">
        <v>2</v>
      </c>
      <c r="B33">
        <v>112</v>
      </c>
      <c r="C33">
        <v>11</v>
      </c>
      <c r="D33" t="s">
        <v>29</v>
      </c>
    </row>
    <row r="34" spans="1:4" x14ac:dyDescent="0.25">
      <c r="A34">
        <v>3</v>
      </c>
      <c r="B34">
        <v>5</v>
      </c>
      <c r="C34">
        <v>11</v>
      </c>
      <c r="D34" t="s">
        <v>27</v>
      </c>
    </row>
    <row r="35" spans="1:4" x14ac:dyDescent="0.25">
      <c r="A35">
        <v>1</v>
      </c>
      <c r="B35">
        <v>78</v>
      </c>
      <c r="C35">
        <v>12</v>
      </c>
      <c r="D35" t="s">
        <v>26</v>
      </c>
    </row>
    <row r="36" spans="1:4" x14ac:dyDescent="0.25">
      <c r="A36">
        <v>2</v>
      </c>
      <c r="B36">
        <v>37</v>
      </c>
      <c r="C36">
        <v>12</v>
      </c>
      <c r="D36" t="s">
        <v>29</v>
      </c>
    </row>
    <row r="37" spans="1:4" x14ac:dyDescent="0.25">
      <c r="A37">
        <v>3</v>
      </c>
      <c r="B37">
        <v>12</v>
      </c>
      <c r="C37">
        <v>12</v>
      </c>
      <c r="D37" t="s">
        <v>27</v>
      </c>
    </row>
    <row r="38" spans="1:4" x14ac:dyDescent="0.25">
      <c r="A38">
        <v>1</v>
      </c>
      <c r="B38">
        <v>17</v>
      </c>
      <c r="C38">
        <v>13</v>
      </c>
      <c r="D38" t="s">
        <v>28</v>
      </c>
    </row>
    <row r="39" spans="1:4" x14ac:dyDescent="0.25">
      <c r="A39">
        <v>2</v>
      </c>
      <c r="B39">
        <v>120</v>
      </c>
      <c r="C39">
        <v>13</v>
      </c>
      <c r="D39" t="s">
        <v>28</v>
      </c>
    </row>
    <row r="40" spans="1:4" x14ac:dyDescent="0.25">
      <c r="A40">
        <v>3</v>
      </c>
      <c r="B40">
        <v>2</v>
      </c>
      <c r="C40">
        <v>13</v>
      </c>
      <c r="D40" t="s">
        <v>27</v>
      </c>
    </row>
    <row r="41" spans="1:4" x14ac:dyDescent="0.25">
      <c r="A41">
        <v>1</v>
      </c>
      <c r="B41">
        <v>24</v>
      </c>
      <c r="C41">
        <v>14</v>
      </c>
      <c r="D41" t="s">
        <v>28</v>
      </c>
    </row>
    <row r="42" spans="1:4" x14ac:dyDescent="0.25">
      <c r="A42">
        <v>2</v>
      </c>
      <c r="B42">
        <v>76</v>
      </c>
      <c r="C42">
        <v>14</v>
      </c>
      <c r="D42" t="s">
        <v>29</v>
      </c>
    </row>
    <row r="43" spans="1:4" x14ac:dyDescent="0.25">
      <c r="A43">
        <v>3</v>
      </c>
      <c r="B43">
        <v>39</v>
      </c>
      <c r="C43">
        <v>14</v>
      </c>
      <c r="D43" t="s">
        <v>27</v>
      </c>
    </row>
    <row r="44" spans="1:4" x14ac:dyDescent="0.25">
      <c r="A44">
        <v>1</v>
      </c>
      <c r="B44">
        <v>16</v>
      </c>
      <c r="C44">
        <v>15</v>
      </c>
      <c r="D44" t="s">
        <v>29</v>
      </c>
    </row>
    <row r="45" spans="1:4" x14ac:dyDescent="0.25">
      <c r="A45">
        <v>2</v>
      </c>
      <c r="B45">
        <v>145</v>
      </c>
      <c r="C45">
        <v>15</v>
      </c>
      <c r="D45" t="s">
        <v>29</v>
      </c>
    </row>
    <row r="46" spans="1:4" x14ac:dyDescent="0.25">
      <c r="A46">
        <v>3</v>
      </c>
      <c r="B46">
        <v>10</v>
      </c>
      <c r="C46">
        <v>15</v>
      </c>
      <c r="D46" t="s">
        <v>27</v>
      </c>
    </row>
    <row r="47" spans="1:4" x14ac:dyDescent="0.25">
      <c r="A47">
        <v>1</v>
      </c>
      <c r="B47">
        <v>55</v>
      </c>
      <c r="C47">
        <v>16</v>
      </c>
      <c r="D47" t="s">
        <v>29</v>
      </c>
    </row>
    <row r="48" spans="1:4" x14ac:dyDescent="0.25">
      <c r="A48">
        <v>2</v>
      </c>
      <c r="B48">
        <v>191</v>
      </c>
      <c r="C48">
        <v>16</v>
      </c>
      <c r="D48" t="s">
        <v>28</v>
      </c>
    </row>
    <row r="49" spans="1:4" x14ac:dyDescent="0.25">
      <c r="A49">
        <v>1</v>
      </c>
      <c r="B49">
        <v>184</v>
      </c>
      <c r="C49">
        <v>17</v>
      </c>
      <c r="D49" t="s">
        <v>26</v>
      </c>
    </row>
    <row r="50" spans="1:4" x14ac:dyDescent="0.25">
      <c r="A50">
        <v>2</v>
      </c>
      <c r="B50">
        <v>67</v>
      </c>
      <c r="C50">
        <v>17</v>
      </c>
      <c r="D50" t="s">
        <v>28</v>
      </c>
    </row>
    <row r="51" spans="1:4" x14ac:dyDescent="0.25">
      <c r="A51">
        <v>1</v>
      </c>
      <c r="B51">
        <v>145</v>
      </c>
      <c r="C51">
        <v>18</v>
      </c>
      <c r="D51" t="s">
        <v>26</v>
      </c>
    </row>
    <row r="52" spans="1:4" x14ac:dyDescent="0.25">
      <c r="A52">
        <v>2</v>
      </c>
      <c r="B52">
        <v>115</v>
      </c>
      <c r="C52">
        <v>18</v>
      </c>
      <c r="D52" t="s">
        <v>26</v>
      </c>
    </row>
    <row r="53" spans="1:4" x14ac:dyDescent="0.25">
      <c r="A53">
        <v>1</v>
      </c>
      <c r="B53">
        <v>2</v>
      </c>
      <c r="C53">
        <v>19</v>
      </c>
      <c r="D53" t="s">
        <v>27</v>
      </c>
    </row>
    <row r="54" spans="1:4" x14ac:dyDescent="0.25">
      <c r="A54">
        <v>2</v>
      </c>
      <c r="B54">
        <v>271</v>
      </c>
      <c r="C54">
        <v>19</v>
      </c>
      <c r="D54" t="s">
        <v>26</v>
      </c>
    </row>
    <row r="55" spans="1:4" x14ac:dyDescent="0.25">
      <c r="A55">
        <v>1</v>
      </c>
      <c r="B55">
        <v>16</v>
      </c>
      <c r="C55">
        <v>20</v>
      </c>
      <c r="D55" t="s">
        <v>29</v>
      </c>
    </row>
    <row r="56" spans="1:4" x14ac:dyDescent="0.25">
      <c r="A56">
        <v>2</v>
      </c>
      <c r="B56">
        <v>269</v>
      </c>
      <c r="C56">
        <v>20</v>
      </c>
      <c r="D56" t="s">
        <v>29</v>
      </c>
    </row>
    <row r="57" spans="1:4" x14ac:dyDescent="0.25">
      <c r="A57">
        <v>1</v>
      </c>
      <c r="B57">
        <v>39</v>
      </c>
      <c r="C57">
        <v>21</v>
      </c>
      <c r="D57" t="s">
        <v>27</v>
      </c>
    </row>
    <row r="58" spans="1:4" x14ac:dyDescent="0.25">
      <c r="A58">
        <v>2</v>
      </c>
      <c r="B58">
        <v>246</v>
      </c>
      <c r="C58">
        <v>21</v>
      </c>
      <c r="D58" t="s">
        <v>28</v>
      </c>
    </row>
    <row r="59" spans="1:4" x14ac:dyDescent="0.25">
      <c r="A59">
        <v>1</v>
      </c>
      <c r="B59">
        <v>35</v>
      </c>
      <c r="C59">
        <v>22</v>
      </c>
      <c r="D59" t="s">
        <v>26</v>
      </c>
    </row>
    <row r="60" spans="1:4" x14ac:dyDescent="0.25">
      <c r="A60">
        <v>2</v>
      </c>
      <c r="B60">
        <v>272</v>
      </c>
      <c r="C60">
        <v>22</v>
      </c>
      <c r="D60" t="s">
        <v>29</v>
      </c>
    </row>
    <row r="61" spans="1:4" x14ac:dyDescent="0.25">
      <c r="A61">
        <v>1</v>
      </c>
      <c r="B61">
        <v>33</v>
      </c>
      <c r="C61">
        <v>23</v>
      </c>
      <c r="D61" t="s">
        <v>28</v>
      </c>
    </row>
    <row r="62" spans="1:4" x14ac:dyDescent="0.25">
      <c r="A62">
        <v>2</v>
      </c>
      <c r="B62">
        <v>274</v>
      </c>
      <c r="C62">
        <v>23</v>
      </c>
      <c r="D62" t="s">
        <v>29</v>
      </c>
    </row>
    <row r="63" spans="1:4" x14ac:dyDescent="0.25">
      <c r="A63">
        <v>1</v>
      </c>
      <c r="B63">
        <v>22</v>
      </c>
      <c r="C63">
        <v>24</v>
      </c>
      <c r="D63" t="s">
        <v>28</v>
      </c>
    </row>
    <row r="64" spans="1:4" x14ac:dyDescent="0.25">
      <c r="A64">
        <v>2</v>
      </c>
      <c r="B64">
        <v>280</v>
      </c>
      <c r="C64">
        <v>24</v>
      </c>
      <c r="D64" t="s">
        <v>28</v>
      </c>
    </row>
    <row r="65" spans="1:4" x14ac:dyDescent="0.25">
      <c r="A65">
        <v>3</v>
      </c>
      <c r="B65">
        <v>15</v>
      </c>
      <c r="C65">
        <v>24</v>
      </c>
      <c r="D65" t="s">
        <v>27</v>
      </c>
    </row>
    <row r="66" spans="1:4" x14ac:dyDescent="0.25">
      <c r="A66">
        <v>1</v>
      </c>
      <c r="B66">
        <v>17</v>
      </c>
      <c r="C66">
        <v>25</v>
      </c>
      <c r="D66" t="s">
        <v>29</v>
      </c>
    </row>
    <row r="67" spans="1:4" x14ac:dyDescent="0.25">
      <c r="A67">
        <v>2</v>
      </c>
      <c r="B67">
        <v>324</v>
      </c>
      <c r="C67">
        <v>25</v>
      </c>
      <c r="D67" t="s">
        <v>26</v>
      </c>
    </row>
    <row r="68" spans="1:4" x14ac:dyDescent="0.25">
      <c r="A68">
        <v>1</v>
      </c>
      <c r="B68">
        <v>6</v>
      </c>
      <c r="C68">
        <v>26</v>
      </c>
      <c r="D68" t="s">
        <v>27</v>
      </c>
    </row>
    <row r="69" spans="1:4" x14ac:dyDescent="0.25">
      <c r="A69">
        <v>2</v>
      </c>
      <c r="B69">
        <v>383</v>
      </c>
      <c r="C69">
        <v>26</v>
      </c>
      <c r="D69" t="s">
        <v>28</v>
      </c>
    </row>
    <row r="70" spans="1:4" x14ac:dyDescent="0.25">
      <c r="A70">
        <v>3</v>
      </c>
      <c r="B70">
        <v>20</v>
      </c>
      <c r="C70">
        <v>26</v>
      </c>
      <c r="D70" t="s">
        <v>27</v>
      </c>
    </row>
    <row r="71" spans="1:4" x14ac:dyDescent="0.25">
      <c r="A71">
        <v>1</v>
      </c>
      <c r="B71">
        <v>67</v>
      </c>
      <c r="C71">
        <v>27</v>
      </c>
      <c r="D71" t="s">
        <v>27</v>
      </c>
    </row>
    <row r="72" spans="1:4" x14ac:dyDescent="0.25">
      <c r="A72">
        <v>2</v>
      </c>
      <c r="B72">
        <v>433</v>
      </c>
      <c r="C72">
        <v>27</v>
      </c>
      <c r="D72" t="s">
        <v>26</v>
      </c>
    </row>
    <row r="73" spans="1:4" x14ac:dyDescent="0.25">
      <c r="A73">
        <v>1</v>
      </c>
      <c r="B73">
        <v>118</v>
      </c>
      <c r="C73">
        <v>28</v>
      </c>
      <c r="D73" t="s">
        <v>28</v>
      </c>
    </row>
    <row r="74" spans="1:4" x14ac:dyDescent="0.25">
      <c r="A74">
        <v>2</v>
      </c>
      <c r="B74">
        <v>440</v>
      </c>
      <c r="C74">
        <v>28</v>
      </c>
      <c r="D74" t="s">
        <v>26</v>
      </c>
    </row>
    <row r="75" spans="1:4" x14ac:dyDescent="0.25">
      <c r="A75">
        <v>1</v>
      </c>
      <c r="B75">
        <v>88</v>
      </c>
      <c r="C75">
        <v>29</v>
      </c>
      <c r="D75" t="s">
        <v>29</v>
      </c>
    </row>
    <row r="76" spans="1:4" x14ac:dyDescent="0.25">
      <c r="A76">
        <v>2</v>
      </c>
      <c r="B76">
        <v>545</v>
      </c>
      <c r="C76">
        <v>29</v>
      </c>
      <c r="D76" t="s">
        <v>26</v>
      </c>
    </row>
    <row r="77" spans="1:4" x14ac:dyDescent="0.25">
      <c r="A77">
        <v>1</v>
      </c>
      <c r="B77">
        <v>97</v>
      </c>
      <c r="C77">
        <v>30</v>
      </c>
      <c r="D77" t="s">
        <v>29</v>
      </c>
    </row>
    <row r="78" spans="1:4" x14ac:dyDescent="0.25">
      <c r="A78">
        <v>2</v>
      </c>
      <c r="B78">
        <v>791</v>
      </c>
      <c r="C78">
        <v>30</v>
      </c>
      <c r="D78" t="s">
        <v>29</v>
      </c>
    </row>
    <row r="79" spans="1:4" x14ac:dyDescent="0.25">
      <c r="A79">
        <v>3</v>
      </c>
      <c r="B79">
        <v>23</v>
      </c>
      <c r="C79">
        <v>30</v>
      </c>
      <c r="D79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C2" sqref="C2"/>
    </sheetView>
  </sheetViews>
  <sheetFormatPr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2">
        <v>4.6256360000000001</v>
      </c>
      <c r="C2" s="2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2"/>
      <c r="C48" s="2"/>
    </row>
    <row r="49" spans="2:3" x14ac:dyDescent="0.25">
      <c r="B49" s="2"/>
      <c r="C49" s="2"/>
    </row>
    <row r="50" spans="2:3" x14ac:dyDescent="0.25">
      <c r="B50" s="2"/>
      <c r="C50" s="2"/>
    </row>
    <row r="51" spans="2:3" x14ac:dyDescent="0.25">
      <c r="B51" s="2"/>
      <c r="C51" s="2"/>
    </row>
    <row r="52" spans="2:3" x14ac:dyDescent="0.25">
      <c r="B52" s="2"/>
      <c r="C52" s="2"/>
    </row>
    <row r="53" spans="2:3" x14ac:dyDescent="0.25">
      <c r="B53" s="2"/>
      <c r="C53" s="2"/>
    </row>
    <row r="54" spans="2:3" x14ac:dyDescent="0.25">
      <c r="B54" s="2"/>
      <c r="C54" s="2"/>
    </row>
    <row r="55" spans="2:3" x14ac:dyDescent="0.25">
      <c r="B55" s="2"/>
      <c r="C55" s="2"/>
    </row>
    <row r="56" spans="2:3" x14ac:dyDescent="0.25">
      <c r="B56" s="2"/>
      <c r="C56" s="2"/>
    </row>
    <row r="57" spans="2:3" x14ac:dyDescent="0.25">
      <c r="B57" s="2"/>
      <c r="C57" s="2"/>
    </row>
    <row r="58" spans="2:3" x14ac:dyDescent="0.25">
      <c r="B58" s="2"/>
      <c r="C58" s="2"/>
    </row>
    <row r="59" spans="2:3" x14ac:dyDescent="0.25">
      <c r="B59" s="2"/>
      <c r="C59" s="2"/>
    </row>
    <row r="60" spans="2:3" x14ac:dyDescent="0.25">
      <c r="B60" s="2"/>
      <c r="C60" s="2"/>
    </row>
    <row r="61" spans="2:3" x14ac:dyDescent="0.25">
      <c r="B61" s="2"/>
      <c r="C61" s="2"/>
    </row>
    <row r="62" spans="2:3" x14ac:dyDescent="0.25">
      <c r="B62" s="2"/>
      <c r="C62" s="2"/>
    </row>
    <row r="63" spans="2:3" x14ac:dyDescent="0.25">
      <c r="B63" s="2"/>
      <c r="C63" s="2"/>
    </row>
    <row r="64" spans="2:3" x14ac:dyDescent="0.25">
      <c r="B64" s="2"/>
      <c r="C64" s="2"/>
    </row>
    <row r="65" spans="2:3" x14ac:dyDescent="0.25">
      <c r="B65" s="2"/>
      <c r="C65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69" spans="2:3" x14ac:dyDescent="0.25">
      <c r="B69" s="2"/>
      <c r="C69" s="2"/>
    </row>
    <row r="70" spans="2:3" x14ac:dyDescent="0.25">
      <c r="B70" s="2"/>
      <c r="C70" s="2"/>
    </row>
    <row r="71" spans="2:3" x14ac:dyDescent="0.25">
      <c r="B71" s="2"/>
      <c r="C71" s="2"/>
    </row>
    <row r="72" spans="2:3" x14ac:dyDescent="0.25">
      <c r="B72" s="2"/>
      <c r="C72" s="2"/>
    </row>
    <row r="73" spans="2:3" x14ac:dyDescent="0.25">
      <c r="B73" s="2"/>
      <c r="C73" s="2"/>
    </row>
    <row r="74" spans="2:3" x14ac:dyDescent="0.25">
      <c r="B74" s="2"/>
      <c r="C74" s="2"/>
    </row>
    <row r="75" spans="2:3" x14ac:dyDescent="0.25">
      <c r="B75" s="2"/>
      <c r="C75" s="2"/>
    </row>
    <row r="76" spans="2:3" x14ac:dyDescent="0.25">
      <c r="B76" s="2"/>
      <c r="C76" s="2"/>
    </row>
    <row r="77" spans="2:3" x14ac:dyDescent="0.25">
      <c r="B77" s="2"/>
      <c r="C77" s="2"/>
    </row>
    <row r="78" spans="2:3" x14ac:dyDescent="0.25">
      <c r="B78" s="2"/>
      <c r="C78" s="2"/>
    </row>
    <row r="79" spans="2:3" x14ac:dyDescent="0.25">
      <c r="B79" s="2"/>
      <c r="C79" s="2"/>
    </row>
    <row r="80" spans="2:3" x14ac:dyDescent="0.25">
      <c r="B80" s="2"/>
      <c r="C80" s="2"/>
    </row>
    <row r="81" spans="2:3" x14ac:dyDescent="0.25">
      <c r="B81" s="2"/>
      <c r="C81" s="2"/>
    </row>
    <row r="82" spans="2:3" x14ac:dyDescent="0.25">
      <c r="B82" s="2"/>
      <c r="C82" s="2"/>
    </row>
    <row r="83" spans="2:3" x14ac:dyDescent="0.25">
      <c r="B83" s="2"/>
      <c r="C83" s="2"/>
    </row>
    <row r="84" spans="2:3" x14ac:dyDescent="0.25">
      <c r="B84" s="2"/>
      <c r="C84" s="2"/>
    </row>
    <row r="85" spans="2:3" x14ac:dyDescent="0.25">
      <c r="B85" s="2"/>
      <c r="C85" s="2"/>
    </row>
    <row r="86" spans="2:3" x14ac:dyDescent="0.25">
      <c r="B86" s="2"/>
      <c r="C86" s="2"/>
    </row>
    <row r="87" spans="2:3" x14ac:dyDescent="0.25">
      <c r="B87" s="2"/>
      <c r="C87" s="2"/>
    </row>
    <row r="88" spans="2:3" x14ac:dyDescent="0.25">
      <c r="B88" s="2"/>
      <c r="C88" s="2"/>
    </row>
    <row r="89" spans="2:3" x14ac:dyDescent="0.25">
      <c r="B89" s="2"/>
      <c r="C89" s="2"/>
    </row>
    <row r="90" spans="2:3" x14ac:dyDescent="0.25">
      <c r="B90" s="2"/>
      <c r="C90" s="2"/>
    </row>
    <row r="91" spans="2:3" x14ac:dyDescent="0.25">
      <c r="B91" s="2"/>
      <c r="C91" s="2"/>
    </row>
    <row r="92" spans="2:3" x14ac:dyDescent="0.25">
      <c r="B92" s="2"/>
      <c r="C92" s="2"/>
    </row>
    <row r="93" spans="2:3" x14ac:dyDescent="0.25">
      <c r="B93" s="2"/>
      <c r="C93" s="2"/>
    </row>
    <row r="94" spans="2:3" x14ac:dyDescent="0.25">
      <c r="B94" s="2"/>
      <c r="C94" s="2"/>
    </row>
    <row r="95" spans="2:3" x14ac:dyDescent="0.25">
      <c r="B95" s="2"/>
      <c r="C95" s="2"/>
    </row>
    <row r="96" spans="2:3" x14ac:dyDescent="0.25">
      <c r="B96" s="2"/>
      <c r="C96" s="2"/>
    </row>
    <row r="97" spans="2:3" x14ac:dyDescent="0.25">
      <c r="B97" s="2"/>
      <c r="C97" s="2"/>
    </row>
    <row r="98" spans="2:3" x14ac:dyDescent="0.25">
      <c r="B98" s="2"/>
      <c r="C98" s="2"/>
    </row>
    <row r="99" spans="2:3" x14ac:dyDescent="0.25">
      <c r="B99" s="2"/>
      <c r="C99" s="2"/>
    </row>
    <row r="100" spans="2:3" x14ac:dyDescent="0.25">
      <c r="B100" s="2"/>
      <c r="C100" s="2"/>
    </row>
    <row r="101" spans="2:3" x14ac:dyDescent="0.25">
      <c r="B101" s="2"/>
      <c r="C101" s="2"/>
    </row>
    <row r="102" spans="2:3" x14ac:dyDescent="0.25">
      <c r="B102" s="2"/>
      <c r="C102" s="2"/>
    </row>
    <row r="103" spans="2:3" x14ac:dyDescent="0.25">
      <c r="B103" s="2"/>
      <c r="C103" s="2"/>
    </row>
    <row r="104" spans="2:3" x14ac:dyDescent="0.25">
      <c r="B104" s="2"/>
      <c r="C104" s="2"/>
    </row>
    <row r="105" spans="2:3" x14ac:dyDescent="0.25">
      <c r="B105" s="2"/>
      <c r="C105" s="2"/>
    </row>
    <row r="106" spans="2:3" x14ac:dyDescent="0.25">
      <c r="B106" s="2"/>
      <c r="C106" s="2"/>
    </row>
    <row r="107" spans="2:3" x14ac:dyDescent="0.25">
      <c r="B107" s="2"/>
      <c r="C107" s="2"/>
    </row>
    <row r="108" spans="2:3" x14ac:dyDescent="0.25">
      <c r="B108" s="2"/>
      <c r="C108" s="2"/>
    </row>
    <row r="109" spans="2:3" x14ac:dyDescent="0.25">
      <c r="B109" s="2"/>
      <c r="C109" s="2"/>
    </row>
    <row r="110" spans="2:3" x14ac:dyDescent="0.25">
      <c r="B110" s="2"/>
      <c r="C110" s="2"/>
    </row>
    <row r="111" spans="2:3" x14ac:dyDescent="0.25">
      <c r="B111" s="2"/>
      <c r="C111" s="2"/>
    </row>
    <row r="112" spans="2:3" x14ac:dyDescent="0.25">
      <c r="B112" s="2"/>
      <c r="C112" s="2"/>
    </row>
    <row r="113" spans="2:3" x14ac:dyDescent="0.25">
      <c r="B113" s="2"/>
      <c r="C113" s="2"/>
    </row>
    <row r="114" spans="2:3" x14ac:dyDescent="0.25">
      <c r="B114" s="2"/>
      <c r="C114" s="2"/>
    </row>
    <row r="115" spans="2:3" x14ac:dyDescent="0.25">
      <c r="B115" s="2"/>
      <c r="C115" s="2"/>
    </row>
    <row r="116" spans="2:3" x14ac:dyDescent="0.25">
      <c r="B116" s="2"/>
      <c r="C116" s="2"/>
    </row>
    <row r="117" spans="2:3" x14ac:dyDescent="0.25">
      <c r="B117" s="2"/>
      <c r="C117" s="2"/>
    </row>
    <row r="118" spans="2:3" x14ac:dyDescent="0.25">
      <c r="B118" s="2"/>
      <c r="C118" s="2"/>
    </row>
    <row r="119" spans="2:3" x14ac:dyDescent="0.25">
      <c r="B119" s="2"/>
      <c r="C119" s="2"/>
    </row>
    <row r="120" spans="2:3" x14ac:dyDescent="0.25">
      <c r="B120" s="2"/>
      <c r="C120" s="2"/>
    </row>
    <row r="121" spans="2:3" x14ac:dyDescent="0.25">
      <c r="B121" s="2"/>
      <c r="C121" s="2"/>
    </row>
    <row r="122" spans="2:3" x14ac:dyDescent="0.25">
      <c r="B122" s="2"/>
      <c r="C122" s="2"/>
    </row>
    <row r="123" spans="2:3" x14ac:dyDescent="0.25">
      <c r="B123" s="2"/>
      <c r="C123" s="2"/>
    </row>
    <row r="124" spans="2:3" x14ac:dyDescent="0.25">
      <c r="B124" s="2"/>
      <c r="C124" s="2"/>
    </row>
    <row r="125" spans="2:3" x14ac:dyDescent="0.25">
      <c r="B125" s="2"/>
      <c r="C125" s="2"/>
    </row>
    <row r="126" spans="2:3" x14ac:dyDescent="0.25">
      <c r="B126" s="2"/>
      <c r="C126" s="2"/>
    </row>
    <row r="127" spans="2:3" x14ac:dyDescent="0.25">
      <c r="B127" s="2"/>
      <c r="C127" s="2"/>
    </row>
    <row r="128" spans="2:3" x14ac:dyDescent="0.25">
      <c r="B128" s="2"/>
      <c r="C128" s="2"/>
    </row>
    <row r="129" spans="2:3" x14ac:dyDescent="0.25">
      <c r="B129" s="2"/>
      <c r="C129" s="2"/>
    </row>
    <row r="130" spans="2:3" x14ac:dyDescent="0.25">
      <c r="B130" s="2"/>
      <c r="C130" s="2"/>
    </row>
    <row r="131" spans="2:3" x14ac:dyDescent="0.25">
      <c r="B131" s="2"/>
      <c r="C131" s="2"/>
    </row>
    <row r="132" spans="2:3" x14ac:dyDescent="0.25">
      <c r="B132" s="2"/>
      <c r="C132" s="2"/>
    </row>
    <row r="133" spans="2:3" x14ac:dyDescent="0.25">
      <c r="B133" s="2"/>
      <c r="C133" s="2"/>
    </row>
    <row r="134" spans="2:3" x14ac:dyDescent="0.25">
      <c r="B134" s="2"/>
      <c r="C134" s="2"/>
    </row>
    <row r="135" spans="2:3" x14ac:dyDescent="0.25">
      <c r="B135" s="2"/>
      <c r="C135" s="2"/>
    </row>
    <row r="136" spans="2:3" x14ac:dyDescent="0.25">
      <c r="B136" s="2"/>
      <c r="C136" s="2"/>
    </row>
    <row r="137" spans="2:3" x14ac:dyDescent="0.25">
      <c r="B137" s="2"/>
      <c r="C137" s="2"/>
    </row>
    <row r="138" spans="2:3" x14ac:dyDescent="0.25">
      <c r="B138" s="2"/>
      <c r="C138" s="2"/>
    </row>
    <row r="139" spans="2:3" x14ac:dyDescent="0.25">
      <c r="B139" s="2"/>
      <c r="C139" s="2"/>
    </row>
    <row r="140" spans="2:3" x14ac:dyDescent="0.25">
      <c r="B140" s="2"/>
      <c r="C140" s="2"/>
    </row>
    <row r="141" spans="2:3" x14ac:dyDescent="0.25">
      <c r="B141" s="2"/>
      <c r="C141" s="2"/>
    </row>
    <row r="142" spans="2:3" x14ac:dyDescent="0.25">
      <c r="B142" s="2"/>
      <c r="C142" s="2"/>
    </row>
    <row r="143" spans="2:3" x14ac:dyDescent="0.25">
      <c r="B143" s="2"/>
      <c r="C143" s="2"/>
    </row>
    <row r="144" spans="2:3" x14ac:dyDescent="0.25">
      <c r="B144" s="2"/>
      <c r="C144" s="2"/>
    </row>
    <row r="145" spans="2:3" x14ac:dyDescent="0.25">
      <c r="B145" s="2"/>
      <c r="C145" s="2"/>
    </row>
    <row r="146" spans="2:3" x14ac:dyDescent="0.25">
      <c r="B146" s="2"/>
      <c r="C146" s="2"/>
    </row>
    <row r="147" spans="2:3" x14ac:dyDescent="0.25">
      <c r="B147" s="2"/>
      <c r="C147" s="2"/>
    </row>
    <row r="148" spans="2:3" x14ac:dyDescent="0.25">
      <c r="B148" s="2"/>
      <c r="C148" s="2"/>
    </row>
    <row r="149" spans="2:3" x14ac:dyDescent="0.25">
      <c r="B149" s="2"/>
      <c r="C149" s="2"/>
    </row>
    <row r="150" spans="2:3" x14ac:dyDescent="0.25">
      <c r="B150" s="2"/>
      <c r="C150" s="2"/>
    </row>
    <row r="151" spans="2:3" x14ac:dyDescent="0.25">
      <c r="B151" s="2"/>
      <c r="C151" s="2"/>
    </row>
    <row r="152" spans="2:3" x14ac:dyDescent="0.25">
      <c r="B152" s="2"/>
      <c r="C152" s="2"/>
    </row>
    <row r="153" spans="2:3" x14ac:dyDescent="0.25">
      <c r="B153" s="2"/>
      <c r="C153" s="2"/>
    </row>
    <row r="154" spans="2:3" x14ac:dyDescent="0.25">
      <c r="B154" s="2"/>
      <c r="C154" s="2"/>
    </row>
    <row r="155" spans="2:3" x14ac:dyDescent="0.25">
      <c r="B155" s="2"/>
      <c r="C155" s="2"/>
    </row>
    <row r="156" spans="2:3" x14ac:dyDescent="0.25">
      <c r="B156" s="2"/>
      <c r="C156" s="2"/>
    </row>
    <row r="157" spans="2:3" x14ac:dyDescent="0.25">
      <c r="B157" s="2"/>
      <c r="C157" s="2"/>
    </row>
    <row r="158" spans="2:3" x14ac:dyDescent="0.25">
      <c r="B158" s="2"/>
      <c r="C158" s="2"/>
    </row>
    <row r="159" spans="2:3" x14ac:dyDescent="0.25">
      <c r="B159" s="2"/>
      <c r="C159" s="2"/>
    </row>
    <row r="160" spans="2:3" x14ac:dyDescent="0.25">
      <c r="B160" s="2"/>
      <c r="C160" s="2"/>
    </row>
    <row r="161" spans="2:3" x14ac:dyDescent="0.25">
      <c r="B161" s="2"/>
      <c r="C161" s="2"/>
    </row>
    <row r="162" spans="2:3" x14ac:dyDescent="0.25">
      <c r="B162" s="2"/>
      <c r="C162" s="2"/>
    </row>
    <row r="163" spans="2:3" x14ac:dyDescent="0.25">
      <c r="B163" s="2"/>
      <c r="C163" s="2"/>
    </row>
    <row r="164" spans="2:3" x14ac:dyDescent="0.25">
      <c r="B164" s="2"/>
      <c r="C164" s="2"/>
    </row>
    <row r="165" spans="2:3" x14ac:dyDescent="0.25">
      <c r="B165" s="2"/>
      <c r="C165" s="2"/>
    </row>
    <row r="166" spans="2:3" x14ac:dyDescent="0.25">
      <c r="B166" s="2"/>
      <c r="C166" s="2"/>
    </row>
    <row r="167" spans="2:3" x14ac:dyDescent="0.25">
      <c r="B167" s="2"/>
      <c r="C167" s="2"/>
    </row>
    <row r="168" spans="2:3" x14ac:dyDescent="0.25">
      <c r="B168" s="2"/>
      <c r="C168" s="2"/>
    </row>
    <row r="169" spans="2:3" x14ac:dyDescent="0.25">
      <c r="B169" s="2"/>
      <c r="C169" s="2"/>
    </row>
    <row r="170" spans="2:3" x14ac:dyDescent="0.25">
      <c r="B170" s="2"/>
      <c r="C170" s="2"/>
    </row>
    <row r="171" spans="2:3" x14ac:dyDescent="0.25">
      <c r="B171" s="2"/>
      <c r="C171" s="2"/>
    </row>
    <row r="172" spans="2:3" x14ac:dyDescent="0.25">
      <c r="B172" s="2"/>
      <c r="C172" s="2"/>
    </row>
    <row r="173" spans="2:3" x14ac:dyDescent="0.25">
      <c r="B173" s="2"/>
      <c r="C173" s="2"/>
    </row>
    <row r="174" spans="2:3" x14ac:dyDescent="0.25">
      <c r="B174" s="2"/>
      <c r="C174" s="2"/>
    </row>
    <row r="175" spans="2:3" x14ac:dyDescent="0.25">
      <c r="B175" s="2"/>
      <c r="C175" s="2"/>
    </row>
    <row r="176" spans="2:3" x14ac:dyDescent="0.25">
      <c r="B176" s="2"/>
      <c r="C176" s="2"/>
    </row>
    <row r="177" spans="2:3" x14ac:dyDescent="0.25">
      <c r="B177" s="2"/>
      <c r="C177" s="2"/>
    </row>
    <row r="178" spans="2:3" x14ac:dyDescent="0.25">
      <c r="B178" s="2"/>
      <c r="C178" s="2"/>
    </row>
    <row r="179" spans="2:3" x14ac:dyDescent="0.25">
      <c r="B179" s="2"/>
      <c r="C179" s="2"/>
    </row>
    <row r="180" spans="2:3" x14ac:dyDescent="0.25">
      <c r="B180" s="2"/>
      <c r="C180" s="2"/>
    </row>
    <row r="181" spans="2:3" x14ac:dyDescent="0.25">
      <c r="B181" s="2"/>
      <c r="C181" s="2"/>
    </row>
    <row r="182" spans="2:3" x14ac:dyDescent="0.25">
      <c r="B182" s="2"/>
      <c r="C182" s="2"/>
    </row>
    <row r="183" spans="2:3" x14ac:dyDescent="0.25">
      <c r="B183" s="2"/>
      <c r="C183" s="2"/>
    </row>
    <row r="184" spans="2:3" x14ac:dyDescent="0.25">
      <c r="B184" s="2"/>
      <c r="C184" s="2"/>
    </row>
    <row r="185" spans="2:3" x14ac:dyDescent="0.25">
      <c r="B185" s="2"/>
      <c r="C185" s="2"/>
    </row>
    <row r="186" spans="2:3" x14ac:dyDescent="0.25">
      <c r="B186" s="2"/>
      <c r="C186" s="2"/>
    </row>
    <row r="187" spans="2:3" x14ac:dyDescent="0.25">
      <c r="B187" s="2"/>
      <c r="C187" s="2"/>
    </row>
    <row r="188" spans="2:3" x14ac:dyDescent="0.25">
      <c r="B188" s="2"/>
      <c r="C188" s="2"/>
    </row>
    <row r="189" spans="2:3" x14ac:dyDescent="0.25">
      <c r="B189" s="2"/>
      <c r="C189" s="2"/>
    </row>
    <row r="190" spans="2:3" x14ac:dyDescent="0.25">
      <c r="B190" s="2"/>
      <c r="C190" s="2"/>
    </row>
    <row r="191" spans="2:3" x14ac:dyDescent="0.25">
      <c r="B191" s="2"/>
      <c r="C191" s="2"/>
    </row>
    <row r="192" spans="2:3" x14ac:dyDescent="0.25">
      <c r="B192" s="2"/>
      <c r="C192" s="2"/>
    </row>
    <row r="193" spans="2:3" x14ac:dyDescent="0.25">
      <c r="B193" s="2"/>
      <c r="C193" s="2"/>
    </row>
    <row r="194" spans="2:3" x14ac:dyDescent="0.25">
      <c r="B194" s="2"/>
      <c r="C194" s="2"/>
    </row>
    <row r="195" spans="2:3" x14ac:dyDescent="0.25">
      <c r="B195" s="2"/>
      <c r="C195" s="2"/>
    </row>
    <row r="196" spans="2:3" x14ac:dyDescent="0.25">
      <c r="B196" s="2"/>
      <c r="C196" s="2"/>
    </row>
    <row r="197" spans="2:3" x14ac:dyDescent="0.25">
      <c r="B197" s="2"/>
      <c r="C197" s="2"/>
    </row>
    <row r="198" spans="2:3" x14ac:dyDescent="0.25">
      <c r="B198" s="2"/>
      <c r="C198" s="2"/>
    </row>
    <row r="199" spans="2:3" x14ac:dyDescent="0.25">
      <c r="B199" s="2"/>
      <c r="C199" s="2"/>
    </row>
    <row r="200" spans="2:3" x14ac:dyDescent="0.25">
      <c r="B200" s="2"/>
      <c r="C200" s="2"/>
    </row>
    <row r="201" spans="2:3" x14ac:dyDescent="0.25">
      <c r="B201" s="2"/>
      <c r="C201" s="2"/>
    </row>
    <row r="202" spans="2:3" x14ac:dyDescent="0.25">
      <c r="B202" s="2"/>
      <c r="C202" s="2"/>
    </row>
    <row r="203" spans="2:3" x14ac:dyDescent="0.25">
      <c r="B203" s="2"/>
      <c r="C203" s="2"/>
    </row>
    <row r="204" spans="2:3" x14ac:dyDescent="0.25">
      <c r="B204" s="2"/>
      <c r="C204" s="2"/>
    </row>
    <row r="205" spans="2:3" x14ac:dyDescent="0.25">
      <c r="B205" s="2"/>
      <c r="C205" s="2"/>
    </row>
    <row r="206" spans="2:3" x14ac:dyDescent="0.25">
      <c r="B206" s="2"/>
      <c r="C206" s="2"/>
    </row>
    <row r="207" spans="2:3" x14ac:dyDescent="0.25">
      <c r="B207" s="2"/>
      <c r="C207" s="2"/>
    </row>
    <row r="208" spans="2:3" x14ac:dyDescent="0.25">
      <c r="B208" s="2"/>
      <c r="C208" s="2"/>
    </row>
    <row r="209" spans="2:3" x14ac:dyDescent="0.25">
      <c r="B209" s="2"/>
      <c r="C209" s="2"/>
    </row>
    <row r="210" spans="2:3" x14ac:dyDescent="0.25">
      <c r="B210" s="2"/>
      <c r="C210" s="2"/>
    </row>
    <row r="211" spans="2:3" x14ac:dyDescent="0.25">
      <c r="B211" s="2"/>
      <c r="C211" s="2"/>
    </row>
    <row r="212" spans="2:3" x14ac:dyDescent="0.25">
      <c r="B212" s="2"/>
      <c r="C212" s="2"/>
    </row>
    <row r="213" spans="2:3" x14ac:dyDescent="0.25">
      <c r="B213" s="2"/>
      <c r="C2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364-5DBB-43DF-880D-06328C58DA75}">
  <dimension ref="A1:AF32"/>
  <sheetViews>
    <sheetView workbookViewId="0">
      <selection activeCell="D6" sqref="D6"/>
    </sheetView>
  </sheetViews>
  <sheetFormatPr defaultColWidth="11.425781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workbookViewId="0">
      <selection activeCell="D9" sqref="D9"/>
    </sheetView>
  </sheetViews>
  <sheetFormatPr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C72F-4776-4454-9D14-1D1618F31A0F}">
  <dimension ref="A1:AB403"/>
  <sheetViews>
    <sheetView topLeftCell="L1" workbookViewId="0">
      <selection activeCell="AE24" sqref="AE24"/>
    </sheetView>
  </sheetViews>
  <sheetFormatPr defaultColWidth="9.140625" defaultRowHeight="15" x14ac:dyDescent="0.25"/>
  <cols>
    <col min="1" max="1" width="11" bestFit="1" customWidth="1"/>
    <col min="2" max="2" width="5" bestFit="1" customWidth="1"/>
    <col min="3" max="3" width="12.140625" bestFit="1" customWidth="1"/>
    <col min="4" max="4" width="9" bestFit="1" customWidth="1"/>
    <col min="5" max="5" width="10.7109375" bestFit="1" customWidth="1"/>
    <col min="6" max="6" width="16.42578125" bestFit="1" customWidth="1"/>
    <col min="7" max="7" width="11" bestFit="1" customWidth="1"/>
    <col min="8" max="8" width="9" bestFit="1" customWidth="1"/>
    <col min="9" max="9" width="11" bestFit="1" customWidth="1"/>
    <col min="10" max="10" width="10.7109375" bestFit="1" customWidth="1"/>
    <col min="13" max="13" width="15.140625" bestFit="1" customWidth="1"/>
    <col min="14" max="14" width="7.28515625" bestFit="1" customWidth="1"/>
    <col min="15" max="15" width="5" bestFit="1" customWidth="1"/>
    <col min="16" max="16" width="7" bestFit="1" customWidth="1"/>
    <col min="17" max="17" width="15.140625" bestFit="1" customWidth="1"/>
    <col min="21" max="21" width="4" bestFit="1" customWidth="1"/>
    <col min="22" max="22" width="15.140625" bestFit="1" customWidth="1"/>
    <col min="23" max="23" width="7.28515625" bestFit="1" customWidth="1"/>
    <col min="24" max="24" width="5" bestFit="1" customWidth="1"/>
    <col min="25" max="25" width="7" bestFit="1" customWidth="1"/>
    <col min="26" max="26" width="15.140625" bestFit="1" customWidth="1"/>
    <col min="27" max="27" width="4.5703125" bestFit="1" customWidth="1"/>
    <col min="28" max="28" width="6.28515625" bestFit="1" customWidth="1"/>
  </cols>
  <sheetData>
    <row r="1" spans="1:28" x14ac:dyDescent="0.25">
      <c r="A1" t="s">
        <v>12</v>
      </c>
      <c r="B1" t="s">
        <v>13</v>
      </c>
      <c r="C1" t="s">
        <v>14</v>
      </c>
      <c r="D1" t="s">
        <v>10</v>
      </c>
      <c r="E1" t="s">
        <v>9</v>
      </c>
      <c r="F1" t="s">
        <v>18</v>
      </c>
      <c r="G1" t="s">
        <v>12</v>
      </c>
      <c r="H1" t="s">
        <v>10</v>
      </c>
      <c r="I1" t="s">
        <v>12</v>
      </c>
      <c r="J1" t="s">
        <v>9</v>
      </c>
      <c r="L1" t="s">
        <v>20</v>
      </c>
      <c r="M1" t="s">
        <v>19</v>
      </c>
      <c r="N1" t="s">
        <v>15</v>
      </c>
      <c r="O1" t="s">
        <v>16</v>
      </c>
      <c r="P1" t="s">
        <v>17</v>
      </c>
      <c r="Q1" t="s">
        <v>21</v>
      </c>
      <c r="R1" t="s">
        <v>10</v>
      </c>
      <c r="S1" t="s">
        <v>9</v>
      </c>
      <c r="U1" t="s">
        <v>20</v>
      </c>
      <c r="V1" t="s">
        <v>19</v>
      </c>
      <c r="W1" t="s">
        <v>15</v>
      </c>
      <c r="X1" t="s">
        <v>16</v>
      </c>
      <c r="Y1" t="s">
        <v>17</v>
      </c>
      <c r="Z1" t="s">
        <v>21</v>
      </c>
      <c r="AA1" t="s">
        <v>10</v>
      </c>
      <c r="AB1" t="s">
        <v>9</v>
      </c>
    </row>
    <row r="2" spans="1:28" x14ac:dyDescent="0.25">
      <c r="A2">
        <v>7194869161</v>
      </c>
      <c r="B2">
        <v>1</v>
      </c>
      <c r="C2" t="s">
        <v>15</v>
      </c>
      <c r="D2">
        <v>4.543628</v>
      </c>
      <c r="E2">
        <v>-74.089622000000006</v>
      </c>
      <c r="F2" s="1">
        <f>SUMIFS($B$2:$B$403, $A$2:$A$403, $A2)</f>
        <v>5</v>
      </c>
      <c r="G2">
        <v>7194869161</v>
      </c>
      <c r="H2">
        <v>4.543628</v>
      </c>
      <c r="I2">
        <v>7194869161</v>
      </c>
      <c r="J2">
        <v>-74.089622000000006</v>
      </c>
      <c r="L2">
        <v>1</v>
      </c>
      <c r="M2" cm="1">
        <f t="array" ref="M2:M260">_xlfn.UNIQUE(A2:A403)</f>
        <v>7194869161</v>
      </c>
      <c r="N2">
        <f t="shared" ref="N2:N65" si="0">SUMIFS($B$2:$B$403,$A$2:$A$403,M2,$C$2:$C$403,$N$1)</f>
        <v>1</v>
      </c>
      <c r="O2">
        <f t="shared" ref="O2:O65" si="1">SUMIFS($B$2:$B$403,$A$2:$A$403,M2,$C$2:$C$403,$O$1)</f>
        <v>0</v>
      </c>
      <c r="P2">
        <f t="shared" ref="P2:P65" si="2">SUMIFS($B$2:$B$403,$A$2:$A$403,M2,$C$2:$C$403,$P$1)</f>
        <v>4</v>
      </c>
      <c r="Q2">
        <f>SUM(N2:P2)</f>
        <v>5</v>
      </c>
      <c r="R2" s="2">
        <f>VLOOKUP(M2,$G$2:$H$403,2,FALSE)</f>
        <v>4.543628</v>
      </c>
      <c r="S2" s="2">
        <f>VLOOKUP(M2,$I$2:$J$403,2,FALSE)</f>
        <v>-74.089622000000006</v>
      </c>
      <c r="U2">
        <v>1</v>
      </c>
      <c r="V2">
        <v>7194869161</v>
      </c>
      <c r="W2">
        <v>1</v>
      </c>
      <c r="X2">
        <v>0</v>
      </c>
      <c r="Y2">
        <v>4</v>
      </c>
      <c r="Z2">
        <v>5</v>
      </c>
      <c r="AA2" s="2">
        <v>4.543628</v>
      </c>
      <c r="AB2" s="2">
        <v>-74.089622000000006</v>
      </c>
    </row>
    <row r="3" spans="1:28" x14ac:dyDescent="0.25">
      <c r="A3">
        <v>7194840436</v>
      </c>
      <c r="B3">
        <v>6</v>
      </c>
      <c r="C3" t="s">
        <v>15</v>
      </c>
      <c r="D3">
        <v>4.5765349999999998</v>
      </c>
      <c r="E3">
        <v>-74.091116</v>
      </c>
      <c r="F3" s="1">
        <f t="shared" ref="F3:F66" si="3">SUMIFS($B$2:$B$403, $A$2:$A$403, $A3)</f>
        <v>85</v>
      </c>
      <c r="G3">
        <v>7194840436</v>
      </c>
      <c r="H3">
        <v>4.5765349999999998</v>
      </c>
      <c r="I3">
        <v>7194840436</v>
      </c>
      <c r="J3">
        <v>-74.091116</v>
      </c>
      <c r="L3">
        <v>2</v>
      </c>
      <c r="M3">
        <v>7194840436</v>
      </c>
      <c r="N3">
        <f t="shared" si="0"/>
        <v>6</v>
      </c>
      <c r="O3">
        <f t="shared" si="1"/>
        <v>79</v>
      </c>
      <c r="P3">
        <f t="shared" si="2"/>
        <v>0</v>
      </c>
      <c r="Q3">
        <f t="shared" ref="Q3:Q66" si="4">SUM(N3:P3)</f>
        <v>85</v>
      </c>
      <c r="R3" s="2">
        <f>VLOOKUP(M3,$G$2:$H$403,2,FALSE)</f>
        <v>4.5765349999999998</v>
      </c>
      <c r="S3" s="2">
        <f>VLOOKUP(M3,$I$2:$J$403,2,FALSE)</f>
        <v>-74.091116</v>
      </c>
      <c r="U3">
        <v>2</v>
      </c>
      <c r="V3">
        <v>7194840436</v>
      </c>
      <c r="W3">
        <v>6</v>
      </c>
      <c r="X3">
        <v>79</v>
      </c>
      <c r="Y3">
        <v>0</v>
      </c>
      <c r="Z3">
        <v>85</v>
      </c>
      <c r="AA3" s="2">
        <v>4.5765349999999998</v>
      </c>
      <c r="AB3" s="2">
        <v>-74.091116</v>
      </c>
    </row>
    <row r="4" spans="1:28" x14ac:dyDescent="0.25">
      <c r="A4">
        <v>7194866739</v>
      </c>
      <c r="B4">
        <v>3</v>
      </c>
      <c r="C4" t="s">
        <v>15</v>
      </c>
      <c r="D4">
        <v>4.5795170000000001</v>
      </c>
      <c r="E4">
        <v>-74.125364000000005</v>
      </c>
      <c r="F4" s="1">
        <f t="shared" si="3"/>
        <v>161</v>
      </c>
      <c r="G4">
        <v>7194866739</v>
      </c>
      <c r="H4">
        <v>4.5795170000000001</v>
      </c>
      <c r="I4">
        <v>7194866739</v>
      </c>
      <c r="J4">
        <v>-74.125364000000005</v>
      </c>
      <c r="L4">
        <v>3</v>
      </c>
      <c r="M4">
        <v>7194866739</v>
      </c>
      <c r="N4">
        <f t="shared" si="0"/>
        <v>3</v>
      </c>
      <c r="O4">
        <f t="shared" si="1"/>
        <v>158</v>
      </c>
      <c r="P4">
        <f t="shared" si="2"/>
        <v>0</v>
      </c>
      <c r="Q4">
        <f t="shared" si="4"/>
        <v>161</v>
      </c>
      <c r="R4" s="2">
        <f t="shared" ref="R4:R67" si="5">VLOOKUP(M4,$G$2:$H$403,2,FALSE)</f>
        <v>4.5795170000000001</v>
      </c>
      <c r="S4" s="2">
        <f t="shared" ref="S4:S67" si="6">VLOOKUP(M4,$I$2:$J$403,2,FALSE)</f>
        <v>-74.125364000000005</v>
      </c>
      <c r="U4">
        <v>3</v>
      </c>
      <c r="V4">
        <v>7194866739</v>
      </c>
      <c r="W4">
        <v>3</v>
      </c>
      <c r="X4">
        <v>158</v>
      </c>
      <c r="Y4">
        <v>0</v>
      </c>
      <c r="Z4">
        <v>161</v>
      </c>
      <c r="AA4" s="2">
        <v>4.5795170000000001</v>
      </c>
      <c r="AB4" s="2">
        <v>-74.125364000000005</v>
      </c>
    </row>
    <row r="5" spans="1:28" x14ac:dyDescent="0.25">
      <c r="A5">
        <v>7194818312</v>
      </c>
      <c r="B5">
        <v>78</v>
      </c>
      <c r="C5" t="s">
        <v>15</v>
      </c>
      <c r="D5">
        <v>4.5831359999999997</v>
      </c>
      <c r="E5">
        <v>-74.105939000000006</v>
      </c>
      <c r="F5" s="1">
        <f t="shared" si="3"/>
        <v>127</v>
      </c>
      <c r="G5">
        <v>7194818312</v>
      </c>
      <c r="H5">
        <v>4.5831359999999997</v>
      </c>
      <c r="I5">
        <v>7194818312</v>
      </c>
      <c r="J5">
        <v>-74.105939000000006</v>
      </c>
      <c r="L5">
        <v>4</v>
      </c>
      <c r="M5">
        <v>7194818312</v>
      </c>
      <c r="N5">
        <f t="shared" si="0"/>
        <v>78</v>
      </c>
      <c r="O5">
        <f t="shared" si="1"/>
        <v>37</v>
      </c>
      <c r="P5">
        <f t="shared" si="2"/>
        <v>12</v>
      </c>
      <c r="Q5">
        <f t="shared" si="4"/>
        <v>127</v>
      </c>
      <c r="R5" s="2">
        <f t="shared" si="5"/>
        <v>4.5831359999999997</v>
      </c>
      <c r="S5" s="2">
        <f t="shared" si="6"/>
        <v>-74.105939000000006</v>
      </c>
      <c r="U5">
        <v>4</v>
      </c>
      <c r="V5">
        <v>7194818312</v>
      </c>
      <c r="W5">
        <v>78</v>
      </c>
      <c r="X5">
        <v>37</v>
      </c>
      <c r="Y5">
        <v>12</v>
      </c>
      <c r="Z5">
        <v>127</v>
      </c>
      <c r="AA5" s="2">
        <v>4.5831359999999997</v>
      </c>
      <c r="AB5" s="2">
        <v>-74.105939000000006</v>
      </c>
    </row>
    <row r="6" spans="1:28" x14ac:dyDescent="0.25">
      <c r="A6">
        <v>7194828089</v>
      </c>
      <c r="B6">
        <v>30</v>
      </c>
      <c r="C6" t="s">
        <v>15</v>
      </c>
      <c r="D6">
        <v>4.5916589999999999</v>
      </c>
      <c r="E6">
        <v>-74.123153000000002</v>
      </c>
      <c r="F6" s="1">
        <f t="shared" si="3"/>
        <v>51</v>
      </c>
      <c r="G6">
        <v>7194828089</v>
      </c>
      <c r="H6">
        <v>4.5916589999999999</v>
      </c>
      <c r="I6">
        <v>7194828089</v>
      </c>
      <c r="J6">
        <v>-74.123153000000002</v>
      </c>
      <c r="L6">
        <v>5</v>
      </c>
      <c r="M6">
        <v>7194828089</v>
      </c>
      <c r="N6">
        <f t="shared" si="0"/>
        <v>30</v>
      </c>
      <c r="O6">
        <f t="shared" si="1"/>
        <v>21</v>
      </c>
      <c r="P6">
        <f t="shared" si="2"/>
        <v>0</v>
      </c>
      <c r="Q6">
        <f t="shared" si="4"/>
        <v>51</v>
      </c>
      <c r="R6" s="2">
        <f t="shared" si="5"/>
        <v>4.5916589999999999</v>
      </c>
      <c r="S6" s="2">
        <f t="shared" si="6"/>
        <v>-74.123153000000002</v>
      </c>
      <c r="U6">
        <v>5</v>
      </c>
      <c r="V6">
        <v>7194828089</v>
      </c>
      <c r="W6">
        <v>30</v>
      </c>
      <c r="X6">
        <v>21</v>
      </c>
      <c r="Y6">
        <v>0</v>
      </c>
      <c r="Z6">
        <v>51</v>
      </c>
      <c r="AA6" s="2">
        <v>4.5916589999999999</v>
      </c>
      <c r="AB6" s="2">
        <v>-74.123153000000002</v>
      </c>
    </row>
    <row r="7" spans="1:28" x14ac:dyDescent="0.25">
      <c r="A7">
        <v>7194865029</v>
      </c>
      <c r="B7">
        <v>20</v>
      </c>
      <c r="C7" t="s">
        <v>15</v>
      </c>
      <c r="D7">
        <v>4.5965499999999997</v>
      </c>
      <c r="E7">
        <v>-74.067683000000002</v>
      </c>
      <c r="F7" s="1">
        <f t="shared" si="3"/>
        <v>43</v>
      </c>
      <c r="G7">
        <v>7194865029</v>
      </c>
      <c r="H7">
        <v>4.5965499999999997</v>
      </c>
      <c r="I7">
        <v>7194865029</v>
      </c>
      <c r="J7">
        <v>-74.067683000000002</v>
      </c>
      <c r="L7">
        <v>6</v>
      </c>
      <c r="M7">
        <v>7194865029</v>
      </c>
      <c r="N7">
        <f t="shared" si="0"/>
        <v>20</v>
      </c>
      <c r="O7">
        <f t="shared" si="1"/>
        <v>3</v>
      </c>
      <c r="P7">
        <f t="shared" si="2"/>
        <v>20</v>
      </c>
      <c r="Q7">
        <f t="shared" si="4"/>
        <v>43</v>
      </c>
      <c r="R7" s="2">
        <f t="shared" si="5"/>
        <v>4.5965499999999997</v>
      </c>
      <c r="S7" s="2">
        <f t="shared" si="6"/>
        <v>-74.067683000000002</v>
      </c>
      <c r="U7">
        <v>6</v>
      </c>
      <c r="V7">
        <v>7194865029</v>
      </c>
      <c r="W7">
        <v>20</v>
      </c>
      <c r="X7">
        <v>3</v>
      </c>
      <c r="Y7">
        <v>20</v>
      </c>
      <c r="Z7">
        <v>43</v>
      </c>
      <c r="AA7" s="2">
        <v>4.5965499999999997</v>
      </c>
      <c r="AB7" s="2">
        <v>-74.067683000000002</v>
      </c>
    </row>
    <row r="8" spans="1:28" x14ac:dyDescent="0.25">
      <c r="A8">
        <v>7194821176</v>
      </c>
      <c r="B8">
        <v>38</v>
      </c>
      <c r="C8" t="s">
        <v>15</v>
      </c>
      <c r="D8">
        <v>4.5978690000000002</v>
      </c>
      <c r="E8">
        <v>-74.067409999999995</v>
      </c>
      <c r="F8" s="1">
        <f t="shared" si="3"/>
        <v>44</v>
      </c>
      <c r="G8">
        <v>7194821176</v>
      </c>
      <c r="H8">
        <v>4.5978690000000002</v>
      </c>
      <c r="I8">
        <v>7194821176</v>
      </c>
      <c r="J8">
        <v>-74.067409999999995</v>
      </c>
      <c r="L8">
        <v>7</v>
      </c>
      <c r="M8">
        <v>7194821176</v>
      </c>
      <c r="N8">
        <f t="shared" si="0"/>
        <v>38</v>
      </c>
      <c r="O8">
        <f t="shared" si="1"/>
        <v>6</v>
      </c>
      <c r="P8">
        <f t="shared" si="2"/>
        <v>0</v>
      </c>
      <c r="Q8">
        <f t="shared" si="4"/>
        <v>44</v>
      </c>
      <c r="R8" s="2">
        <f t="shared" si="5"/>
        <v>4.5978690000000002</v>
      </c>
      <c r="S8" s="2">
        <f t="shared" si="6"/>
        <v>-74.067409999999995</v>
      </c>
      <c r="U8">
        <v>7</v>
      </c>
      <c r="V8">
        <v>7194821176</v>
      </c>
      <c r="W8">
        <v>38</v>
      </c>
      <c r="X8">
        <v>6</v>
      </c>
      <c r="Y8">
        <v>0</v>
      </c>
      <c r="Z8">
        <v>44</v>
      </c>
      <c r="AA8" s="2">
        <v>4.5978690000000002</v>
      </c>
      <c r="AB8" s="2">
        <v>-74.067409999999995</v>
      </c>
    </row>
    <row r="9" spans="1:28" x14ac:dyDescent="0.25">
      <c r="A9">
        <v>7194867817</v>
      </c>
      <c r="B9">
        <v>6</v>
      </c>
      <c r="C9" t="s">
        <v>15</v>
      </c>
      <c r="D9">
        <v>4.599297</v>
      </c>
      <c r="E9">
        <v>-74.142263</v>
      </c>
      <c r="F9" s="1">
        <f t="shared" si="3"/>
        <v>156</v>
      </c>
      <c r="G9">
        <v>7194867817</v>
      </c>
      <c r="H9">
        <v>4.599297</v>
      </c>
      <c r="I9">
        <v>7194867817</v>
      </c>
      <c r="J9">
        <v>-74.142263</v>
      </c>
      <c r="L9">
        <v>8</v>
      </c>
      <c r="M9">
        <v>7194867817</v>
      </c>
      <c r="N9">
        <f t="shared" si="0"/>
        <v>6</v>
      </c>
      <c r="O9">
        <f t="shared" si="1"/>
        <v>150</v>
      </c>
      <c r="P9">
        <f t="shared" si="2"/>
        <v>0</v>
      </c>
      <c r="Q9">
        <f t="shared" si="4"/>
        <v>156</v>
      </c>
      <c r="R9" s="2">
        <f t="shared" si="5"/>
        <v>4.599297</v>
      </c>
      <c r="S9" s="2">
        <f t="shared" si="6"/>
        <v>-74.142263</v>
      </c>
      <c r="U9">
        <v>8</v>
      </c>
      <c r="V9">
        <v>7194867817</v>
      </c>
      <c r="W9">
        <v>6</v>
      </c>
      <c r="X9">
        <v>150</v>
      </c>
      <c r="Y9">
        <v>0</v>
      </c>
      <c r="Z9">
        <v>156</v>
      </c>
      <c r="AA9" s="2">
        <v>4.599297</v>
      </c>
      <c r="AB9" s="2">
        <v>-74.142263</v>
      </c>
    </row>
    <row r="10" spans="1:28" x14ac:dyDescent="0.25">
      <c r="A10">
        <v>7194867076</v>
      </c>
      <c r="B10">
        <v>2</v>
      </c>
      <c r="C10" t="s">
        <v>15</v>
      </c>
      <c r="D10">
        <v>4.6000909999999999</v>
      </c>
      <c r="E10">
        <v>-74.065062999999995</v>
      </c>
      <c r="F10" s="1">
        <f t="shared" si="3"/>
        <v>14</v>
      </c>
      <c r="G10">
        <v>7194867076</v>
      </c>
      <c r="H10">
        <v>4.6000909999999999</v>
      </c>
      <c r="I10">
        <v>7194867076</v>
      </c>
      <c r="J10">
        <v>-74.065062999999995</v>
      </c>
      <c r="L10">
        <v>9</v>
      </c>
      <c r="M10">
        <v>7194867076</v>
      </c>
      <c r="N10">
        <f t="shared" si="0"/>
        <v>2</v>
      </c>
      <c r="O10">
        <f t="shared" si="1"/>
        <v>12</v>
      </c>
      <c r="P10">
        <f t="shared" si="2"/>
        <v>0</v>
      </c>
      <c r="Q10">
        <f t="shared" si="4"/>
        <v>14</v>
      </c>
      <c r="R10" s="2">
        <f t="shared" si="5"/>
        <v>4.6000909999999999</v>
      </c>
      <c r="S10" s="2">
        <f t="shared" si="6"/>
        <v>-74.065062999999995</v>
      </c>
      <c r="U10">
        <v>9</v>
      </c>
      <c r="V10">
        <v>7194867076</v>
      </c>
      <c r="W10">
        <v>2</v>
      </c>
      <c r="X10">
        <v>12</v>
      </c>
      <c r="Y10">
        <v>0</v>
      </c>
      <c r="Z10">
        <v>14</v>
      </c>
      <c r="AA10" s="2">
        <v>4.6000909999999999</v>
      </c>
      <c r="AB10" s="2">
        <v>-74.065062999999995</v>
      </c>
    </row>
    <row r="11" spans="1:28" x14ac:dyDescent="0.25">
      <c r="A11">
        <v>7194869657</v>
      </c>
      <c r="B11">
        <v>16</v>
      </c>
      <c r="C11" t="s">
        <v>15</v>
      </c>
      <c r="D11">
        <v>4.6037100000000004</v>
      </c>
      <c r="E11">
        <v>-74.086907999999994</v>
      </c>
      <c r="F11" s="1">
        <f t="shared" si="3"/>
        <v>16</v>
      </c>
      <c r="G11">
        <v>7194869657</v>
      </c>
      <c r="H11">
        <v>4.6037100000000004</v>
      </c>
      <c r="I11">
        <v>7194869657</v>
      </c>
      <c r="J11">
        <v>-74.086907999999994</v>
      </c>
      <c r="L11">
        <v>10</v>
      </c>
      <c r="M11">
        <v>7194869657</v>
      </c>
      <c r="N11">
        <f t="shared" si="0"/>
        <v>16</v>
      </c>
      <c r="O11">
        <f t="shared" si="1"/>
        <v>0</v>
      </c>
      <c r="P11">
        <f t="shared" si="2"/>
        <v>0</v>
      </c>
      <c r="Q11">
        <f t="shared" si="4"/>
        <v>16</v>
      </c>
      <c r="R11" s="2">
        <f t="shared" si="5"/>
        <v>4.6037100000000004</v>
      </c>
      <c r="S11" s="2">
        <f t="shared" si="6"/>
        <v>-74.086907999999994</v>
      </c>
      <c r="U11">
        <v>10</v>
      </c>
      <c r="V11">
        <v>7194869657</v>
      </c>
      <c r="W11">
        <v>16</v>
      </c>
      <c r="X11">
        <v>0</v>
      </c>
      <c r="Y11">
        <v>0</v>
      </c>
      <c r="Z11">
        <v>16</v>
      </c>
      <c r="AA11" s="2">
        <v>4.6037100000000004</v>
      </c>
      <c r="AB11" s="2">
        <v>-74.086907999999994</v>
      </c>
    </row>
    <row r="12" spans="1:28" x14ac:dyDescent="0.25">
      <c r="A12">
        <v>7194864626</v>
      </c>
      <c r="B12">
        <v>5</v>
      </c>
      <c r="C12" t="s">
        <v>15</v>
      </c>
      <c r="D12">
        <v>4.6059549999999998</v>
      </c>
      <c r="E12">
        <v>-74.079204000000004</v>
      </c>
      <c r="F12" s="1">
        <f t="shared" si="3"/>
        <v>5</v>
      </c>
      <c r="G12">
        <v>7194864626</v>
      </c>
      <c r="H12">
        <v>4.6059549999999998</v>
      </c>
      <c r="I12">
        <v>7194864626</v>
      </c>
      <c r="J12">
        <v>-74.079204000000004</v>
      </c>
      <c r="L12">
        <v>11</v>
      </c>
      <c r="M12">
        <v>7194864626</v>
      </c>
      <c r="N12">
        <f t="shared" si="0"/>
        <v>5</v>
      </c>
      <c r="O12">
        <f t="shared" si="1"/>
        <v>0</v>
      </c>
      <c r="P12">
        <f t="shared" si="2"/>
        <v>0</v>
      </c>
      <c r="Q12">
        <f t="shared" si="4"/>
        <v>5</v>
      </c>
      <c r="R12" s="2">
        <f t="shared" si="5"/>
        <v>4.6059549999999998</v>
      </c>
      <c r="S12" s="2">
        <f t="shared" si="6"/>
        <v>-74.079204000000004</v>
      </c>
      <c r="U12">
        <v>11</v>
      </c>
      <c r="V12">
        <v>7194864626</v>
      </c>
      <c r="W12">
        <v>5</v>
      </c>
      <c r="X12">
        <v>0</v>
      </c>
      <c r="Y12">
        <v>0</v>
      </c>
      <c r="Z12">
        <v>5</v>
      </c>
      <c r="AA12" s="2">
        <v>4.6059549999999998</v>
      </c>
      <c r="AB12" s="2">
        <v>-74.079204000000004</v>
      </c>
    </row>
    <row r="13" spans="1:28" x14ac:dyDescent="0.25">
      <c r="A13">
        <v>7194795199</v>
      </c>
      <c r="B13">
        <v>15</v>
      </c>
      <c r="C13" t="s">
        <v>15</v>
      </c>
      <c r="D13">
        <v>4.6068290000000003</v>
      </c>
      <c r="E13">
        <v>-74.217431000000005</v>
      </c>
      <c r="F13" s="1">
        <f t="shared" si="3"/>
        <v>15</v>
      </c>
      <c r="G13">
        <v>7194795199</v>
      </c>
      <c r="H13">
        <v>4.6068290000000003</v>
      </c>
      <c r="I13">
        <v>7194795199</v>
      </c>
      <c r="J13">
        <v>-74.217431000000005</v>
      </c>
      <c r="L13">
        <v>12</v>
      </c>
      <c r="M13">
        <v>7194795199</v>
      </c>
      <c r="N13">
        <f t="shared" si="0"/>
        <v>15</v>
      </c>
      <c r="O13">
        <f t="shared" si="1"/>
        <v>0</v>
      </c>
      <c r="P13">
        <f t="shared" si="2"/>
        <v>0</v>
      </c>
      <c r="Q13">
        <f t="shared" si="4"/>
        <v>15</v>
      </c>
      <c r="R13" s="2">
        <f t="shared" si="5"/>
        <v>4.6068290000000003</v>
      </c>
      <c r="S13" s="2">
        <f t="shared" si="6"/>
        <v>-74.217431000000005</v>
      </c>
      <c r="U13">
        <v>12</v>
      </c>
      <c r="V13">
        <v>7194795199</v>
      </c>
      <c r="W13">
        <v>15</v>
      </c>
      <c r="X13">
        <v>0</v>
      </c>
      <c r="Y13">
        <v>0</v>
      </c>
      <c r="Z13">
        <v>15</v>
      </c>
      <c r="AA13" s="2">
        <v>4.6068290000000003</v>
      </c>
      <c r="AB13" s="2">
        <v>-74.217431000000005</v>
      </c>
    </row>
    <row r="14" spans="1:28" x14ac:dyDescent="0.25">
      <c r="A14">
        <v>7194865107</v>
      </c>
      <c r="B14">
        <v>30</v>
      </c>
      <c r="C14" t="s">
        <v>15</v>
      </c>
      <c r="D14">
        <v>4.6114360000000003</v>
      </c>
      <c r="E14">
        <v>-74.077100000000002</v>
      </c>
      <c r="F14" s="1">
        <f t="shared" si="3"/>
        <v>80</v>
      </c>
      <c r="G14">
        <v>7194865107</v>
      </c>
      <c r="H14">
        <v>4.6114360000000003</v>
      </c>
      <c r="I14">
        <v>7194865107</v>
      </c>
      <c r="J14">
        <v>-74.077100000000002</v>
      </c>
      <c r="L14">
        <v>13</v>
      </c>
      <c r="M14">
        <v>7194865107</v>
      </c>
      <c r="N14">
        <f t="shared" si="0"/>
        <v>30</v>
      </c>
      <c r="O14">
        <f t="shared" si="1"/>
        <v>50</v>
      </c>
      <c r="P14">
        <f t="shared" si="2"/>
        <v>0</v>
      </c>
      <c r="Q14">
        <f t="shared" si="4"/>
        <v>80</v>
      </c>
      <c r="R14" s="2">
        <f t="shared" si="5"/>
        <v>4.6114360000000003</v>
      </c>
      <c r="S14" s="2">
        <f t="shared" si="6"/>
        <v>-74.077100000000002</v>
      </c>
      <c r="U14">
        <v>13</v>
      </c>
      <c r="V14">
        <v>7194865107</v>
      </c>
      <c r="W14">
        <v>30</v>
      </c>
      <c r="X14">
        <v>50</v>
      </c>
      <c r="Y14">
        <v>0</v>
      </c>
      <c r="Z14">
        <v>80</v>
      </c>
      <c r="AA14" s="2">
        <v>4.6114360000000003</v>
      </c>
      <c r="AB14" s="2">
        <v>-74.077100000000002</v>
      </c>
    </row>
    <row r="15" spans="1:28" x14ac:dyDescent="0.25">
      <c r="A15">
        <v>7194866368</v>
      </c>
      <c r="B15">
        <v>415</v>
      </c>
      <c r="C15" t="s">
        <v>15</v>
      </c>
      <c r="D15">
        <v>4.6129699999999998</v>
      </c>
      <c r="E15">
        <v>-74.070420999999996</v>
      </c>
      <c r="F15" s="1">
        <f t="shared" si="3"/>
        <v>1228</v>
      </c>
      <c r="G15">
        <v>7194866368</v>
      </c>
      <c r="H15">
        <v>4.6129699999999998</v>
      </c>
      <c r="I15">
        <v>7194866368</v>
      </c>
      <c r="J15">
        <v>-74.070420999999996</v>
      </c>
      <c r="L15">
        <v>14</v>
      </c>
      <c r="M15">
        <v>7194866368</v>
      </c>
      <c r="N15">
        <f t="shared" si="0"/>
        <v>415</v>
      </c>
      <c r="O15">
        <f t="shared" si="1"/>
        <v>813</v>
      </c>
      <c r="P15">
        <f t="shared" si="2"/>
        <v>0</v>
      </c>
      <c r="Q15">
        <f t="shared" si="4"/>
        <v>1228</v>
      </c>
      <c r="R15" s="2">
        <f t="shared" si="5"/>
        <v>4.6129699999999998</v>
      </c>
      <c r="S15" s="2">
        <f t="shared" si="6"/>
        <v>-74.070420999999996</v>
      </c>
      <c r="U15">
        <v>14</v>
      </c>
      <c r="V15">
        <v>7194866368</v>
      </c>
      <c r="W15">
        <v>415</v>
      </c>
      <c r="X15">
        <v>813</v>
      </c>
      <c r="Y15">
        <v>0</v>
      </c>
      <c r="Z15">
        <v>1228</v>
      </c>
      <c r="AA15" s="2">
        <v>4.6129699999999998</v>
      </c>
      <c r="AB15" s="2">
        <v>-74.070420999999996</v>
      </c>
    </row>
    <row r="16" spans="1:28" x14ac:dyDescent="0.25">
      <c r="A16">
        <v>7194869164</v>
      </c>
      <c r="B16">
        <v>14</v>
      </c>
      <c r="C16" t="s">
        <v>15</v>
      </c>
      <c r="D16">
        <v>4.6149940000000003</v>
      </c>
      <c r="E16">
        <v>-74.069455000000005</v>
      </c>
      <c r="F16" s="1">
        <f t="shared" si="3"/>
        <v>86</v>
      </c>
      <c r="G16">
        <v>7194869164</v>
      </c>
      <c r="H16">
        <v>4.6149940000000003</v>
      </c>
      <c r="I16">
        <v>7194869164</v>
      </c>
      <c r="J16">
        <v>-74.069455000000005</v>
      </c>
      <c r="L16">
        <v>15</v>
      </c>
      <c r="M16">
        <v>7194869164</v>
      </c>
      <c r="N16">
        <f t="shared" si="0"/>
        <v>14</v>
      </c>
      <c r="O16">
        <f t="shared" si="1"/>
        <v>72</v>
      </c>
      <c r="P16">
        <f t="shared" si="2"/>
        <v>0</v>
      </c>
      <c r="Q16">
        <f t="shared" si="4"/>
        <v>86</v>
      </c>
      <c r="R16" s="2">
        <f t="shared" si="5"/>
        <v>4.6149940000000003</v>
      </c>
      <c r="S16" s="2">
        <f t="shared" si="6"/>
        <v>-74.069455000000005</v>
      </c>
      <c r="U16">
        <v>15</v>
      </c>
      <c r="V16">
        <v>7194869164</v>
      </c>
      <c r="W16">
        <v>14</v>
      </c>
      <c r="X16">
        <v>72</v>
      </c>
      <c r="Y16">
        <v>0</v>
      </c>
      <c r="Z16">
        <v>86</v>
      </c>
      <c r="AA16" s="2">
        <v>4.6149940000000003</v>
      </c>
      <c r="AB16" s="2">
        <v>-74.069455000000005</v>
      </c>
    </row>
    <row r="17" spans="1:28" x14ac:dyDescent="0.25">
      <c r="A17">
        <v>7194845229</v>
      </c>
      <c r="B17">
        <v>13</v>
      </c>
      <c r="C17" t="s">
        <v>15</v>
      </c>
      <c r="D17">
        <v>4.6160920000000001</v>
      </c>
      <c r="E17">
        <v>-74.071138000000005</v>
      </c>
      <c r="F17" s="1">
        <f t="shared" si="3"/>
        <v>21</v>
      </c>
      <c r="G17">
        <v>7194845229</v>
      </c>
      <c r="H17">
        <v>4.6160920000000001</v>
      </c>
      <c r="I17">
        <v>7194845229</v>
      </c>
      <c r="J17">
        <v>-74.071138000000005</v>
      </c>
      <c r="L17">
        <v>16</v>
      </c>
      <c r="M17">
        <v>7194845229</v>
      </c>
      <c r="N17">
        <f t="shared" si="0"/>
        <v>13</v>
      </c>
      <c r="O17">
        <f t="shared" si="1"/>
        <v>8</v>
      </c>
      <c r="P17">
        <f t="shared" si="2"/>
        <v>0</v>
      </c>
      <c r="Q17">
        <f t="shared" si="4"/>
        <v>21</v>
      </c>
      <c r="R17" s="2">
        <f t="shared" si="5"/>
        <v>4.6160920000000001</v>
      </c>
      <c r="S17" s="2">
        <f t="shared" si="6"/>
        <v>-74.071138000000005</v>
      </c>
      <c r="U17">
        <v>16</v>
      </c>
      <c r="V17">
        <v>7194845229</v>
      </c>
      <c r="W17">
        <v>13</v>
      </c>
      <c r="X17">
        <v>8</v>
      </c>
      <c r="Y17">
        <v>0</v>
      </c>
      <c r="Z17">
        <v>21</v>
      </c>
      <c r="AA17" s="2">
        <v>4.6160920000000001</v>
      </c>
      <c r="AB17" s="2">
        <v>-74.071138000000005</v>
      </c>
    </row>
    <row r="18" spans="1:28" x14ac:dyDescent="0.25">
      <c r="A18">
        <v>7194866931</v>
      </c>
      <c r="B18">
        <v>13</v>
      </c>
      <c r="C18" t="s">
        <v>15</v>
      </c>
      <c r="D18">
        <v>4.6181960000000002</v>
      </c>
      <c r="E18">
        <v>-74.137220999999997</v>
      </c>
      <c r="F18" s="1">
        <f t="shared" si="3"/>
        <v>15</v>
      </c>
      <c r="G18">
        <v>7194866931</v>
      </c>
      <c r="H18">
        <v>4.6181960000000002</v>
      </c>
      <c r="I18">
        <v>7194866931</v>
      </c>
      <c r="J18">
        <v>-74.137220999999997</v>
      </c>
      <c r="L18">
        <v>17</v>
      </c>
      <c r="M18">
        <v>7194866931</v>
      </c>
      <c r="N18">
        <f t="shared" si="0"/>
        <v>13</v>
      </c>
      <c r="O18">
        <f t="shared" si="1"/>
        <v>2</v>
      </c>
      <c r="P18">
        <f t="shared" si="2"/>
        <v>0</v>
      </c>
      <c r="Q18">
        <f t="shared" si="4"/>
        <v>15</v>
      </c>
      <c r="R18" s="2">
        <f t="shared" si="5"/>
        <v>4.6181960000000002</v>
      </c>
      <c r="S18" s="2">
        <f t="shared" si="6"/>
        <v>-74.137220999999997</v>
      </c>
      <c r="U18">
        <v>17</v>
      </c>
      <c r="V18">
        <v>7194866931</v>
      </c>
      <c r="W18">
        <v>13</v>
      </c>
      <c r="X18">
        <v>2</v>
      </c>
      <c r="Y18">
        <v>0</v>
      </c>
      <c r="Z18">
        <v>15</v>
      </c>
      <c r="AA18" s="2">
        <v>4.6181960000000002</v>
      </c>
      <c r="AB18" s="2">
        <v>-74.137220999999997</v>
      </c>
    </row>
    <row r="19" spans="1:28" x14ac:dyDescent="0.25">
      <c r="A19">
        <v>7194864228</v>
      </c>
      <c r="B19">
        <v>89</v>
      </c>
      <c r="C19" t="s">
        <v>15</v>
      </c>
      <c r="D19">
        <v>4.6192159999999998</v>
      </c>
      <c r="E19">
        <v>-74.138248000000004</v>
      </c>
      <c r="F19" s="1">
        <f t="shared" si="3"/>
        <v>89</v>
      </c>
      <c r="G19">
        <v>7194864228</v>
      </c>
      <c r="H19">
        <v>4.6192159999999998</v>
      </c>
      <c r="I19">
        <v>7194864228</v>
      </c>
      <c r="J19">
        <v>-74.138248000000004</v>
      </c>
      <c r="L19">
        <v>18</v>
      </c>
      <c r="M19">
        <v>7194864228</v>
      </c>
      <c r="N19">
        <f t="shared" si="0"/>
        <v>89</v>
      </c>
      <c r="O19">
        <f t="shared" si="1"/>
        <v>0</v>
      </c>
      <c r="P19">
        <f t="shared" si="2"/>
        <v>0</v>
      </c>
      <c r="Q19">
        <f t="shared" si="4"/>
        <v>89</v>
      </c>
      <c r="R19" s="2">
        <f t="shared" si="5"/>
        <v>4.6192159999999998</v>
      </c>
      <c r="S19" s="2">
        <f t="shared" si="6"/>
        <v>-74.138248000000004</v>
      </c>
      <c r="U19">
        <v>18</v>
      </c>
      <c r="V19">
        <v>7194864228</v>
      </c>
      <c r="W19">
        <v>89</v>
      </c>
      <c r="X19">
        <v>0</v>
      </c>
      <c r="Y19">
        <v>0</v>
      </c>
      <c r="Z19">
        <v>89</v>
      </c>
      <c r="AA19" s="2">
        <v>4.6192159999999998</v>
      </c>
      <c r="AB19" s="2">
        <v>-74.138248000000004</v>
      </c>
    </row>
    <row r="20" spans="1:28" x14ac:dyDescent="0.25">
      <c r="A20">
        <v>7194825082</v>
      </c>
      <c r="B20">
        <v>4</v>
      </c>
      <c r="C20" t="s">
        <v>15</v>
      </c>
      <c r="D20">
        <v>4.6229630000000004</v>
      </c>
      <c r="E20">
        <v>-74.077488000000002</v>
      </c>
      <c r="F20" s="1">
        <f t="shared" si="3"/>
        <v>67</v>
      </c>
      <c r="G20">
        <v>7194825082</v>
      </c>
      <c r="H20">
        <v>4.6229630000000004</v>
      </c>
      <c r="I20">
        <v>7194825082</v>
      </c>
      <c r="J20">
        <v>-74.077488000000002</v>
      </c>
      <c r="L20">
        <v>19</v>
      </c>
      <c r="M20">
        <v>7194825082</v>
      </c>
      <c r="N20">
        <f t="shared" si="0"/>
        <v>4</v>
      </c>
      <c r="O20">
        <f t="shared" si="1"/>
        <v>63</v>
      </c>
      <c r="P20">
        <f t="shared" si="2"/>
        <v>0</v>
      </c>
      <c r="Q20">
        <f t="shared" si="4"/>
        <v>67</v>
      </c>
      <c r="R20" s="2">
        <f t="shared" si="5"/>
        <v>4.6229630000000004</v>
      </c>
      <c r="S20" s="2">
        <f t="shared" si="6"/>
        <v>-74.077488000000002</v>
      </c>
      <c r="U20">
        <v>19</v>
      </c>
      <c r="V20">
        <v>7194825082</v>
      </c>
      <c r="W20">
        <v>4</v>
      </c>
      <c r="X20">
        <v>63</v>
      </c>
      <c r="Y20">
        <v>0</v>
      </c>
      <c r="Z20">
        <v>67</v>
      </c>
      <c r="AA20" s="2">
        <v>4.6229630000000004</v>
      </c>
      <c r="AB20" s="2">
        <v>-74.077488000000002</v>
      </c>
    </row>
    <row r="21" spans="1:28" x14ac:dyDescent="0.25">
      <c r="A21">
        <v>7194817079</v>
      </c>
      <c r="B21">
        <v>36</v>
      </c>
      <c r="C21" t="s">
        <v>15</v>
      </c>
      <c r="D21">
        <v>4.6236410000000001</v>
      </c>
      <c r="E21">
        <v>-74.082007000000004</v>
      </c>
      <c r="F21" s="1">
        <f t="shared" si="3"/>
        <v>58</v>
      </c>
      <c r="G21">
        <v>7194817079</v>
      </c>
      <c r="H21">
        <v>4.6236410000000001</v>
      </c>
      <c r="I21">
        <v>7194817079</v>
      </c>
      <c r="J21">
        <v>-74.082007000000004</v>
      </c>
      <c r="L21">
        <v>20</v>
      </c>
      <c r="M21">
        <v>7194817079</v>
      </c>
      <c r="N21">
        <f t="shared" si="0"/>
        <v>36</v>
      </c>
      <c r="O21">
        <f t="shared" si="1"/>
        <v>22</v>
      </c>
      <c r="P21">
        <f t="shared" si="2"/>
        <v>0</v>
      </c>
      <c r="Q21">
        <f t="shared" si="4"/>
        <v>58</v>
      </c>
      <c r="R21" s="2">
        <f t="shared" si="5"/>
        <v>4.6236410000000001</v>
      </c>
      <c r="S21" s="2">
        <f t="shared" si="6"/>
        <v>-74.082007000000004</v>
      </c>
      <c r="U21">
        <v>20</v>
      </c>
      <c r="V21">
        <v>7194817079</v>
      </c>
      <c r="W21">
        <v>36</v>
      </c>
      <c r="X21">
        <v>22</v>
      </c>
      <c r="Y21">
        <v>0</v>
      </c>
      <c r="Z21">
        <v>58</v>
      </c>
      <c r="AA21" s="2">
        <v>4.6236410000000001</v>
      </c>
      <c r="AB21" s="2">
        <v>-74.082007000000004</v>
      </c>
    </row>
    <row r="22" spans="1:28" x14ac:dyDescent="0.25">
      <c r="A22">
        <v>7194821874</v>
      </c>
      <c r="B22">
        <v>5</v>
      </c>
      <c r="C22" t="s">
        <v>15</v>
      </c>
      <c r="D22">
        <v>4.6256360000000001</v>
      </c>
      <c r="E22">
        <v>-74.098286000000002</v>
      </c>
      <c r="F22" s="1">
        <f t="shared" si="3"/>
        <v>10</v>
      </c>
      <c r="G22">
        <v>7194821874</v>
      </c>
      <c r="H22">
        <v>4.6256360000000001</v>
      </c>
      <c r="I22">
        <v>7194821874</v>
      </c>
      <c r="J22">
        <v>-74.098286000000002</v>
      </c>
      <c r="L22">
        <v>21</v>
      </c>
      <c r="M22">
        <v>7194821874</v>
      </c>
      <c r="N22">
        <f t="shared" si="0"/>
        <v>5</v>
      </c>
      <c r="O22">
        <f t="shared" si="1"/>
        <v>5</v>
      </c>
      <c r="P22">
        <f t="shared" si="2"/>
        <v>0</v>
      </c>
      <c r="Q22">
        <f t="shared" si="4"/>
        <v>10</v>
      </c>
      <c r="R22" s="2">
        <f t="shared" si="5"/>
        <v>4.6256360000000001</v>
      </c>
      <c r="S22" s="2">
        <f t="shared" si="6"/>
        <v>-74.098286000000002</v>
      </c>
      <c r="U22">
        <v>21</v>
      </c>
      <c r="V22">
        <v>7194821874</v>
      </c>
      <c r="W22">
        <v>5</v>
      </c>
      <c r="X22">
        <v>5</v>
      </c>
      <c r="Y22">
        <v>0</v>
      </c>
      <c r="Z22">
        <v>10</v>
      </c>
      <c r="AA22" s="2">
        <v>4.6256360000000001</v>
      </c>
      <c r="AB22" s="2">
        <v>-74.098286000000002</v>
      </c>
    </row>
    <row r="23" spans="1:28" x14ac:dyDescent="0.25">
      <c r="A23">
        <v>7194868838</v>
      </c>
      <c r="B23">
        <v>3</v>
      </c>
      <c r="C23" t="s">
        <v>15</v>
      </c>
      <c r="D23">
        <v>4.6256490000000001</v>
      </c>
      <c r="E23">
        <v>-74.111041999999998</v>
      </c>
      <c r="F23" s="1">
        <f t="shared" si="3"/>
        <v>40</v>
      </c>
      <c r="G23">
        <v>7194868838</v>
      </c>
      <c r="H23">
        <v>4.6256490000000001</v>
      </c>
      <c r="I23">
        <v>7194868838</v>
      </c>
      <c r="J23">
        <v>-74.111041999999998</v>
      </c>
      <c r="L23">
        <v>22</v>
      </c>
      <c r="M23">
        <v>7194868838</v>
      </c>
      <c r="N23">
        <f t="shared" si="0"/>
        <v>3</v>
      </c>
      <c r="O23">
        <f t="shared" si="1"/>
        <v>37</v>
      </c>
      <c r="P23">
        <f t="shared" si="2"/>
        <v>0</v>
      </c>
      <c r="Q23">
        <f t="shared" si="4"/>
        <v>40</v>
      </c>
      <c r="R23" s="2">
        <f t="shared" si="5"/>
        <v>4.6256490000000001</v>
      </c>
      <c r="S23" s="2">
        <f t="shared" si="6"/>
        <v>-74.111041999999998</v>
      </c>
      <c r="U23">
        <v>22</v>
      </c>
      <c r="V23">
        <v>7194868838</v>
      </c>
      <c r="W23">
        <v>3</v>
      </c>
      <c r="X23">
        <v>37</v>
      </c>
      <c r="Y23">
        <v>0</v>
      </c>
      <c r="Z23">
        <v>40</v>
      </c>
      <c r="AA23" s="2">
        <v>4.6256490000000001</v>
      </c>
      <c r="AB23" s="2">
        <v>-74.111041999999998</v>
      </c>
    </row>
    <row r="24" spans="1:28" x14ac:dyDescent="0.25">
      <c r="A24">
        <v>7194841659</v>
      </c>
      <c r="B24">
        <v>17</v>
      </c>
      <c r="C24" t="s">
        <v>15</v>
      </c>
      <c r="D24">
        <v>4.6263579999999997</v>
      </c>
      <c r="E24">
        <v>-74.102267999999995</v>
      </c>
      <c r="F24" s="1">
        <f t="shared" si="3"/>
        <v>341</v>
      </c>
      <c r="G24">
        <v>7194841659</v>
      </c>
      <c r="H24">
        <v>4.6263579999999997</v>
      </c>
      <c r="I24">
        <v>7194841659</v>
      </c>
      <c r="J24">
        <v>-74.102267999999995</v>
      </c>
      <c r="L24">
        <v>23</v>
      </c>
      <c r="M24">
        <v>7194841659</v>
      </c>
      <c r="N24">
        <f t="shared" si="0"/>
        <v>17</v>
      </c>
      <c r="O24">
        <f t="shared" si="1"/>
        <v>324</v>
      </c>
      <c r="P24">
        <f t="shared" si="2"/>
        <v>0</v>
      </c>
      <c r="Q24">
        <f t="shared" si="4"/>
        <v>341</v>
      </c>
      <c r="R24" s="2">
        <f t="shared" si="5"/>
        <v>4.6263579999999997</v>
      </c>
      <c r="S24" s="2">
        <f t="shared" si="6"/>
        <v>-74.102267999999995</v>
      </c>
      <c r="U24">
        <v>23</v>
      </c>
      <c r="V24">
        <v>7194841659</v>
      </c>
      <c r="W24">
        <v>17</v>
      </c>
      <c r="X24">
        <v>324</v>
      </c>
      <c r="Y24">
        <v>0</v>
      </c>
      <c r="Z24">
        <v>341</v>
      </c>
      <c r="AA24" s="2">
        <v>4.6263579999999997</v>
      </c>
      <c r="AB24" s="2">
        <v>-74.102267999999995</v>
      </c>
    </row>
    <row r="25" spans="1:28" x14ac:dyDescent="0.25">
      <c r="A25">
        <v>7194865812</v>
      </c>
      <c r="B25">
        <v>88</v>
      </c>
      <c r="C25" t="s">
        <v>15</v>
      </c>
      <c r="D25">
        <v>4.626544</v>
      </c>
      <c r="E25">
        <v>-74.104303000000002</v>
      </c>
      <c r="F25" s="1">
        <f t="shared" si="3"/>
        <v>633</v>
      </c>
      <c r="G25">
        <v>7194865812</v>
      </c>
      <c r="H25">
        <v>4.626544</v>
      </c>
      <c r="I25">
        <v>7194865812</v>
      </c>
      <c r="J25">
        <v>-74.104303000000002</v>
      </c>
      <c r="L25">
        <v>24</v>
      </c>
      <c r="M25">
        <v>7194865812</v>
      </c>
      <c r="N25">
        <f t="shared" si="0"/>
        <v>88</v>
      </c>
      <c r="O25">
        <f t="shared" si="1"/>
        <v>545</v>
      </c>
      <c r="P25">
        <f t="shared" si="2"/>
        <v>0</v>
      </c>
      <c r="Q25">
        <f t="shared" si="4"/>
        <v>633</v>
      </c>
      <c r="R25" s="2">
        <f t="shared" si="5"/>
        <v>4.626544</v>
      </c>
      <c r="S25" s="2">
        <f t="shared" si="6"/>
        <v>-74.104303000000002</v>
      </c>
      <c r="U25">
        <v>24</v>
      </c>
      <c r="V25">
        <v>7194865812</v>
      </c>
      <c r="W25">
        <v>88</v>
      </c>
      <c r="X25">
        <v>545</v>
      </c>
      <c r="Y25">
        <v>0</v>
      </c>
      <c r="Z25">
        <v>633</v>
      </c>
      <c r="AA25" s="2">
        <v>4.626544</v>
      </c>
      <c r="AB25" s="2">
        <v>-74.104303000000002</v>
      </c>
    </row>
    <row r="26" spans="1:28" x14ac:dyDescent="0.25">
      <c r="A26">
        <v>7194860631</v>
      </c>
      <c r="B26">
        <v>145</v>
      </c>
      <c r="C26" t="s">
        <v>15</v>
      </c>
      <c r="D26">
        <v>4.6269130000000001</v>
      </c>
      <c r="E26">
        <v>-74.064733000000004</v>
      </c>
      <c r="F26" s="1">
        <f t="shared" si="3"/>
        <v>260</v>
      </c>
      <c r="G26">
        <v>7194860631</v>
      </c>
      <c r="H26">
        <v>4.6269130000000001</v>
      </c>
      <c r="I26">
        <v>7194860631</v>
      </c>
      <c r="J26">
        <v>-74.064733000000004</v>
      </c>
      <c r="L26">
        <v>25</v>
      </c>
      <c r="M26">
        <v>7194860631</v>
      </c>
      <c r="N26">
        <f t="shared" si="0"/>
        <v>145</v>
      </c>
      <c r="O26">
        <f t="shared" si="1"/>
        <v>115</v>
      </c>
      <c r="P26">
        <f t="shared" si="2"/>
        <v>0</v>
      </c>
      <c r="Q26">
        <f t="shared" si="4"/>
        <v>260</v>
      </c>
      <c r="R26" s="2">
        <f t="shared" si="5"/>
        <v>4.6269130000000001</v>
      </c>
      <c r="S26" s="2">
        <f t="shared" si="6"/>
        <v>-74.064733000000004</v>
      </c>
      <c r="U26">
        <v>25</v>
      </c>
      <c r="V26">
        <v>7194860631</v>
      </c>
      <c r="W26">
        <v>145</v>
      </c>
      <c r="X26">
        <v>115</v>
      </c>
      <c r="Y26">
        <v>0</v>
      </c>
      <c r="Z26">
        <v>260</v>
      </c>
      <c r="AA26" s="2">
        <v>4.6269130000000001</v>
      </c>
      <c r="AB26" s="2">
        <v>-74.064733000000004</v>
      </c>
    </row>
    <row r="27" spans="1:28" x14ac:dyDescent="0.25">
      <c r="A27">
        <v>7194862326</v>
      </c>
      <c r="B27">
        <v>8</v>
      </c>
      <c r="C27" t="s">
        <v>15</v>
      </c>
      <c r="D27">
        <v>4.6290469999999999</v>
      </c>
      <c r="E27">
        <v>-74.063130999999998</v>
      </c>
      <c r="F27" s="1">
        <f t="shared" si="3"/>
        <v>8</v>
      </c>
      <c r="G27">
        <v>7194862326</v>
      </c>
      <c r="H27">
        <v>4.6290469999999999</v>
      </c>
      <c r="I27">
        <v>7194862326</v>
      </c>
      <c r="J27">
        <v>-74.063130999999998</v>
      </c>
      <c r="L27">
        <v>26</v>
      </c>
      <c r="M27">
        <v>7194862326</v>
      </c>
      <c r="N27">
        <f t="shared" si="0"/>
        <v>8</v>
      </c>
      <c r="O27">
        <f t="shared" si="1"/>
        <v>0</v>
      </c>
      <c r="P27">
        <f t="shared" si="2"/>
        <v>0</v>
      </c>
      <c r="Q27">
        <f t="shared" si="4"/>
        <v>8</v>
      </c>
      <c r="R27" s="2">
        <f t="shared" si="5"/>
        <v>4.6290469999999999</v>
      </c>
      <c r="S27" s="2">
        <f t="shared" si="6"/>
        <v>-74.063130999999998</v>
      </c>
      <c r="U27">
        <v>26</v>
      </c>
      <c r="V27">
        <v>7194862326</v>
      </c>
      <c r="W27">
        <v>8</v>
      </c>
      <c r="X27">
        <v>0</v>
      </c>
      <c r="Y27">
        <v>0</v>
      </c>
      <c r="Z27">
        <v>8</v>
      </c>
      <c r="AA27" s="2">
        <v>4.6290469999999999</v>
      </c>
      <c r="AB27" s="2">
        <v>-74.063130999999998</v>
      </c>
    </row>
    <row r="28" spans="1:28" x14ac:dyDescent="0.25">
      <c r="A28">
        <v>7194860564</v>
      </c>
      <c r="B28">
        <v>41</v>
      </c>
      <c r="C28" t="s">
        <v>15</v>
      </c>
      <c r="D28">
        <v>4.6290480000000001</v>
      </c>
      <c r="E28">
        <v>-74.063131999999996</v>
      </c>
      <c r="F28" s="1">
        <f t="shared" si="3"/>
        <v>64</v>
      </c>
      <c r="G28">
        <v>7194860564</v>
      </c>
      <c r="H28">
        <v>4.6290480000000001</v>
      </c>
      <c r="I28">
        <v>7194860564</v>
      </c>
      <c r="J28">
        <v>-74.063131999999996</v>
      </c>
      <c r="L28">
        <v>27</v>
      </c>
      <c r="M28">
        <v>7194860564</v>
      </c>
      <c r="N28">
        <f t="shared" si="0"/>
        <v>41</v>
      </c>
      <c r="O28">
        <f t="shared" si="1"/>
        <v>23</v>
      </c>
      <c r="P28">
        <f t="shared" si="2"/>
        <v>0</v>
      </c>
      <c r="Q28">
        <f t="shared" si="4"/>
        <v>64</v>
      </c>
      <c r="R28" s="2">
        <f t="shared" si="5"/>
        <v>4.6290480000000001</v>
      </c>
      <c r="S28" s="2">
        <f t="shared" si="6"/>
        <v>-74.063131999999996</v>
      </c>
      <c r="U28">
        <v>27</v>
      </c>
      <c r="V28">
        <v>7194860564</v>
      </c>
      <c r="W28">
        <v>41</v>
      </c>
      <c r="X28">
        <v>23</v>
      </c>
      <c r="Y28">
        <v>0</v>
      </c>
      <c r="Z28">
        <v>64</v>
      </c>
      <c r="AA28" s="2">
        <v>4.6290480000000001</v>
      </c>
      <c r="AB28" s="2">
        <v>-74.063131999999996</v>
      </c>
    </row>
    <row r="29" spans="1:28" x14ac:dyDescent="0.25">
      <c r="A29">
        <v>7194862671</v>
      </c>
      <c r="B29">
        <v>16</v>
      </c>
      <c r="C29" t="s">
        <v>15</v>
      </c>
      <c r="D29">
        <v>4.6292799999999996</v>
      </c>
      <c r="E29">
        <v>-74.105988999999994</v>
      </c>
      <c r="F29" s="1">
        <f t="shared" si="3"/>
        <v>171</v>
      </c>
      <c r="G29">
        <v>7194862671</v>
      </c>
      <c r="H29">
        <v>4.6292799999999996</v>
      </c>
      <c r="I29">
        <v>7194862671</v>
      </c>
      <c r="J29">
        <v>-74.105988999999994</v>
      </c>
      <c r="L29">
        <v>28</v>
      </c>
      <c r="M29">
        <v>7194862671</v>
      </c>
      <c r="N29">
        <f t="shared" si="0"/>
        <v>16</v>
      </c>
      <c r="O29">
        <f t="shared" si="1"/>
        <v>145</v>
      </c>
      <c r="P29">
        <f t="shared" si="2"/>
        <v>10</v>
      </c>
      <c r="Q29">
        <f t="shared" si="4"/>
        <v>171</v>
      </c>
      <c r="R29" s="2">
        <f t="shared" si="5"/>
        <v>4.6292799999999996</v>
      </c>
      <c r="S29" s="2">
        <f t="shared" si="6"/>
        <v>-74.105988999999994</v>
      </c>
      <c r="U29">
        <v>28</v>
      </c>
      <c r="V29">
        <v>7194862671</v>
      </c>
      <c r="W29">
        <v>16</v>
      </c>
      <c r="X29">
        <v>145</v>
      </c>
      <c r="Y29">
        <v>10</v>
      </c>
      <c r="Z29">
        <v>171</v>
      </c>
      <c r="AA29" s="2">
        <v>4.6292799999999996</v>
      </c>
      <c r="AB29" s="2">
        <v>-74.105988999999994</v>
      </c>
    </row>
    <row r="30" spans="1:28" x14ac:dyDescent="0.25">
      <c r="A30">
        <v>7194840804</v>
      </c>
      <c r="B30">
        <v>1</v>
      </c>
      <c r="C30" t="s">
        <v>15</v>
      </c>
      <c r="D30">
        <v>4.6299219999999996</v>
      </c>
      <c r="E30">
        <v>-74.112145999999996</v>
      </c>
      <c r="F30" s="1">
        <f t="shared" si="3"/>
        <v>60</v>
      </c>
      <c r="G30">
        <v>7194840804</v>
      </c>
      <c r="H30">
        <v>4.6299219999999996</v>
      </c>
      <c r="I30">
        <v>7194840804</v>
      </c>
      <c r="J30">
        <v>-74.112145999999996</v>
      </c>
      <c r="L30">
        <v>29</v>
      </c>
      <c r="M30">
        <v>7194840804</v>
      </c>
      <c r="N30">
        <f t="shared" si="0"/>
        <v>1</v>
      </c>
      <c r="O30">
        <f t="shared" si="1"/>
        <v>59</v>
      </c>
      <c r="P30">
        <f t="shared" si="2"/>
        <v>0</v>
      </c>
      <c r="Q30">
        <f t="shared" si="4"/>
        <v>60</v>
      </c>
      <c r="R30" s="2">
        <f t="shared" si="5"/>
        <v>4.6299219999999996</v>
      </c>
      <c r="S30" s="2">
        <f t="shared" si="6"/>
        <v>-74.112145999999996</v>
      </c>
      <c r="U30">
        <v>29</v>
      </c>
      <c r="V30">
        <v>7194840804</v>
      </c>
      <c r="W30">
        <v>1</v>
      </c>
      <c r="X30">
        <v>59</v>
      </c>
      <c r="Y30">
        <v>0</v>
      </c>
      <c r="Z30">
        <v>60</v>
      </c>
      <c r="AA30" s="2">
        <v>4.6299219999999996</v>
      </c>
      <c r="AB30" s="2">
        <v>-74.112145999999996</v>
      </c>
    </row>
    <row r="31" spans="1:28" x14ac:dyDescent="0.25">
      <c r="A31">
        <v>7194867418</v>
      </c>
      <c r="B31">
        <v>195</v>
      </c>
      <c r="C31" t="s">
        <v>15</v>
      </c>
      <c r="D31">
        <v>4.6301019999999999</v>
      </c>
      <c r="E31">
        <v>-74.081688999999997</v>
      </c>
      <c r="F31" s="1">
        <f t="shared" si="3"/>
        <v>195</v>
      </c>
      <c r="G31">
        <v>7194867418</v>
      </c>
      <c r="H31">
        <v>4.6301019999999999</v>
      </c>
      <c r="I31">
        <v>7194867418</v>
      </c>
      <c r="J31">
        <v>-74.081688999999997</v>
      </c>
      <c r="L31">
        <v>30</v>
      </c>
      <c r="M31">
        <v>7194867418</v>
      </c>
      <c r="N31">
        <f t="shared" si="0"/>
        <v>195</v>
      </c>
      <c r="O31">
        <f t="shared" si="1"/>
        <v>0</v>
      </c>
      <c r="P31">
        <f t="shared" si="2"/>
        <v>0</v>
      </c>
      <c r="Q31">
        <f t="shared" si="4"/>
        <v>195</v>
      </c>
      <c r="R31" s="2">
        <f t="shared" si="5"/>
        <v>4.6301019999999999</v>
      </c>
      <c r="S31" s="2">
        <f t="shared" si="6"/>
        <v>-74.081688999999997</v>
      </c>
      <c r="U31">
        <v>30</v>
      </c>
      <c r="V31">
        <v>7194867418</v>
      </c>
      <c r="W31">
        <v>195</v>
      </c>
      <c r="X31">
        <v>0</v>
      </c>
      <c r="Y31">
        <v>0</v>
      </c>
      <c r="Z31">
        <v>195</v>
      </c>
      <c r="AA31" s="2">
        <v>4.6301019999999999</v>
      </c>
      <c r="AB31" s="2">
        <v>-74.081688999999997</v>
      </c>
    </row>
    <row r="32" spans="1:28" x14ac:dyDescent="0.25">
      <c r="A32">
        <v>7194865698</v>
      </c>
      <c r="B32">
        <v>16</v>
      </c>
      <c r="C32" t="s">
        <v>15</v>
      </c>
      <c r="D32">
        <v>4.6304800000000004</v>
      </c>
      <c r="E32">
        <v>-74.092879999999994</v>
      </c>
      <c r="F32" s="1">
        <f t="shared" si="3"/>
        <v>285</v>
      </c>
      <c r="G32">
        <v>7194865698</v>
      </c>
      <c r="H32">
        <v>4.6304800000000004</v>
      </c>
      <c r="I32">
        <v>7194865698</v>
      </c>
      <c r="J32">
        <v>-74.092879999999994</v>
      </c>
      <c r="L32">
        <v>31</v>
      </c>
      <c r="M32">
        <v>7194865698</v>
      </c>
      <c r="N32">
        <f t="shared" si="0"/>
        <v>16</v>
      </c>
      <c r="O32">
        <f t="shared" si="1"/>
        <v>269</v>
      </c>
      <c r="P32">
        <f t="shared" si="2"/>
        <v>0</v>
      </c>
      <c r="Q32">
        <f t="shared" si="4"/>
        <v>285</v>
      </c>
      <c r="R32" s="2">
        <f t="shared" si="5"/>
        <v>4.6304800000000004</v>
      </c>
      <c r="S32" s="2">
        <f t="shared" si="6"/>
        <v>-74.092879999999994</v>
      </c>
      <c r="U32">
        <v>31</v>
      </c>
      <c r="V32">
        <v>7194865698</v>
      </c>
      <c r="W32">
        <v>16</v>
      </c>
      <c r="X32">
        <v>269</v>
      </c>
      <c r="Y32">
        <v>0</v>
      </c>
      <c r="Z32">
        <v>285</v>
      </c>
      <c r="AA32" s="2">
        <v>4.6304800000000004</v>
      </c>
      <c r="AB32" s="2">
        <v>-74.092879999999994</v>
      </c>
    </row>
    <row r="33" spans="1:28" x14ac:dyDescent="0.25">
      <c r="A33">
        <v>7194862025</v>
      </c>
      <c r="B33">
        <v>14</v>
      </c>
      <c r="C33" t="s">
        <v>15</v>
      </c>
      <c r="D33">
        <v>4.63089</v>
      </c>
      <c r="E33">
        <v>-74.064243000000005</v>
      </c>
      <c r="F33" s="1">
        <f t="shared" si="3"/>
        <v>15</v>
      </c>
      <c r="G33">
        <v>7194862025</v>
      </c>
      <c r="H33">
        <v>4.63089</v>
      </c>
      <c r="I33">
        <v>7194862025</v>
      </c>
      <c r="J33">
        <v>-74.064243000000005</v>
      </c>
      <c r="L33">
        <v>32</v>
      </c>
      <c r="M33">
        <v>7194862025</v>
      </c>
      <c r="N33">
        <f t="shared" si="0"/>
        <v>14</v>
      </c>
      <c r="O33">
        <f t="shared" si="1"/>
        <v>1</v>
      </c>
      <c r="P33">
        <f t="shared" si="2"/>
        <v>0</v>
      </c>
      <c r="Q33">
        <f t="shared" si="4"/>
        <v>15</v>
      </c>
      <c r="R33" s="2">
        <f t="shared" si="5"/>
        <v>4.63089</v>
      </c>
      <c r="S33" s="2">
        <f t="shared" si="6"/>
        <v>-74.064243000000005</v>
      </c>
      <c r="U33">
        <v>32</v>
      </c>
      <c r="V33">
        <v>7194862025</v>
      </c>
      <c r="W33">
        <v>14</v>
      </c>
      <c r="X33">
        <v>1</v>
      </c>
      <c r="Y33">
        <v>0</v>
      </c>
      <c r="Z33">
        <v>15</v>
      </c>
      <c r="AA33" s="2">
        <v>4.63089</v>
      </c>
      <c r="AB33" s="2">
        <v>-74.064243000000005</v>
      </c>
    </row>
    <row r="34" spans="1:28" x14ac:dyDescent="0.25">
      <c r="A34">
        <v>7194864183</v>
      </c>
      <c r="B34">
        <v>8</v>
      </c>
      <c r="C34" t="s">
        <v>15</v>
      </c>
      <c r="D34">
        <v>4.6310799999999999</v>
      </c>
      <c r="E34">
        <v>-74.092651000000004</v>
      </c>
      <c r="F34" s="1">
        <f t="shared" si="3"/>
        <v>55</v>
      </c>
      <c r="G34">
        <v>7194864183</v>
      </c>
      <c r="H34">
        <v>4.6310799999999999</v>
      </c>
      <c r="I34">
        <v>7194864183</v>
      </c>
      <c r="J34">
        <v>-74.092651000000004</v>
      </c>
      <c r="L34">
        <v>33</v>
      </c>
      <c r="M34">
        <v>7194864183</v>
      </c>
      <c r="N34">
        <f t="shared" si="0"/>
        <v>8</v>
      </c>
      <c r="O34">
        <f t="shared" si="1"/>
        <v>47</v>
      </c>
      <c r="P34">
        <f t="shared" si="2"/>
        <v>0</v>
      </c>
      <c r="Q34">
        <f t="shared" si="4"/>
        <v>55</v>
      </c>
      <c r="R34" s="2">
        <f t="shared" si="5"/>
        <v>4.6310799999999999</v>
      </c>
      <c r="S34" s="2">
        <f t="shared" si="6"/>
        <v>-74.092651000000004</v>
      </c>
      <c r="U34">
        <v>33</v>
      </c>
      <c r="V34">
        <v>7194864183</v>
      </c>
      <c r="W34">
        <v>8</v>
      </c>
      <c r="X34">
        <v>47</v>
      </c>
      <c r="Y34">
        <v>0</v>
      </c>
      <c r="Z34">
        <v>55</v>
      </c>
      <c r="AA34" s="2">
        <v>4.6310799999999999</v>
      </c>
      <c r="AB34" s="2">
        <v>-74.092651000000004</v>
      </c>
    </row>
    <row r="35" spans="1:28" x14ac:dyDescent="0.25">
      <c r="A35">
        <v>7194860583</v>
      </c>
      <c r="B35">
        <v>5</v>
      </c>
      <c r="C35" t="s">
        <v>15</v>
      </c>
      <c r="D35">
        <v>4.6312030000000002</v>
      </c>
      <c r="E35">
        <v>-74.063706999999994</v>
      </c>
      <c r="F35" s="1">
        <f t="shared" si="3"/>
        <v>5</v>
      </c>
      <c r="G35">
        <v>7194860583</v>
      </c>
      <c r="H35">
        <v>4.6312030000000002</v>
      </c>
      <c r="I35">
        <v>7194860583</v>
      </c>
      <c r="J35">
        <v>-74.063706999999994</v>
      </c>
      <c r="L35">
        <v>34</v>
      </c>
      <c r="M35">
        <v>7194860583</v>
      </c>
      <c r="N35">
        <f t="shared" si="0"/>
        <v>5</v>
      </c>
      <c r="O35">
        <f t="shared" si="1"/>
        <v>0</v>
      </c>
      <c r="P35">
        <f t="shared" si="2"/>
        <v>0</v>
      </c>
      <c r="Q35">
        <f t="shared" si="4"/>
        <v>5</v>
      </c>
      <c r="R35" s="2">
        <f t="shared" si="5"/>
        <v>4.6312030000000002</v>
      </c>
      <c r="S35" s="2">
        <f t="shared" si="6"/>
        <v>-74.063706999999994</v>
      </c>
      <c r="U35">
        <v>34</v>
      </c>
      <c r="V35">
        <v>7194860583</v>
      </c>
      <c r="W35">
        <v>5</v>
      </c>
      <c r="X35">
        <v>0</v>
      </c>
      <c r="Y35">
        <v>0</v>
      </c>
      <c r="Z35">
        <v>5</v>
      </c>
      <c r="AA35" s="2">
        <v>4.6312030000000002</v>
      </c>
      <c r="AB35" s="2">
        <v>-74.063706999999994</v>
      </c>
    </row>
    <row r="36" spans="1:28" x14ac:dyDescent="0.25">
      <c r="A36">
        <v>7194856297</v>
      </c>
      <c r="B36">
        <v>353</v>
      </c>
      <c r="C36" t="s">
        <v>15</v>
      </c>
      <c r="D36">
        <v>4.6314650000000004</v>
      </c>
      <c r="E36">
        <v>-74.155158999999998</v>
      </c>
      <c r="F36" s="1">
        <f t="shared" si="3"/>
        <v>1079</v>
      </c>
      <c r="G36">
        <v>7194856297</v>
      </c>
      <c r="H36">
        <v>4.6314650000000004</v>
      </c>
      <c r="I36">
        <v>7194856297</v>
      </c>
      <c r="J36">
        <v>-74.155158999999998</v>
      </c>
      <c r="L36">
        <v>35</v>
      </c>
      <c r="M36">
        <v>7194856297</v>
      </c>
      <c r="N36">
        <f t="shared" si="0"/>
        <v>353</v>
      </c>
      <c r="O36">
        <f t="shared" si="1"/>
        <v>726</v>
      </c>
      <c r="P36">
        <f t="shared" si="2"/>
        <v>0</v>
      </c>
      <c r="Q36">
        <f t="shared" si="4"/>
        <v>1079</v>
      </c>
      <c r="R36" s="2">
        <f t="shared" si="5"/>
        <v>4.6314650000000004</v>
      </c>
      <c r="S36" s="2">
        <f t="shared" si="6"/>
        <v>-74.155158999999998</v>
      </c>
      <c r="U36">
        <v>35</v>
      </c>
      <c r="V36">
        <v>7194856297</v>
      </c>
      <c r="W36">
        <v>353</v>
      </c>
      <c r="X36">
        <v>726</v>
      </c>
      <c r="Y36">
        <v>0</v>
      </c>
      <c r="Z36">
        <v>1079</v>
      </c>
      <c r="AA36" s="2">
        <v>4.6314650000000004</v>
      </c>
      <c r="AB36" s="2">
        <v>-74.155158999999998</v>
      </c>
    </row>
    <row r="37" spans="1:28" x14ac:dyDescent="0.25">
      <c r="A37">
        <v>7194862665</v>
      </c>
      <c r="B37">
        <v>35</v>
      </c>
      <c r="C37" t="s">
        <v>15</v>
      </c>
      <c r="D37">
        <v>4.6331030000000002</v>
      </c>
      <c r="E37">
        <v>-74.156147000000004</v>
      </c>
      <c r="F37" s="1">
        <f t="shared" si="3"/>
        <v>203</v>
      </c>
      <c r="G37">
        <v>7194862665</v>
      </c>
      <c r="H37">
        <v>4.6331030000000002</v>
      </c>
      <c r="I37">
        <v>7194862665</v>
      </c>
      <c r="J37">
        <v>-74.156147000000004</v>
      </c>
      <c r="L37">
        <v>36</v>
      </c>
      <c r="M37">
        <v>7194862665</v>
      </c>
      <c r="N37">
        <f t="shared" si="0"/>
        <v>35</v>
      </c>
      <c r="O37">
        <f t="shared" si="1"/>
        <v>168</v>
      </c>
      <c r="P37">
        <f t="shared" si="2"/>
        <v>0</v>
      </c>
      <c r="Q37">
        <f t="shared" si="4"/>
        <v>203</v>
      </c>
      <c r="R37" s="2">
        <f t="shared" si="5"/>
        <v>4.6331030000000002</v>
      </c>
      <c r="S37" s="2">
        <f t="shared" si="6"/>
        <v>-74.156147000000004</v>
      </c>
      <c r="U37">
        <v>36</v>
      </c>
      <c r="V37">
        <v>7194862665</v>
      </c>
      <c r="W37">
        <v>35</v>
      </c>
      <c r="X37">
        <v>168</v>
      </c>
      <c r="Y37">
        <v>0</v>
      </c>
      <c r="Z37">
        <v>203</v>
      </c>
      <c r="AA37" s="2">
        <v>4.6331030000000002</v>
      </c>
      <c r="AB37" s="2">
        <v>-74.156147000000004</v>
      </c>
    </row>
    <row r="38" spans="1:28" x14ac:dyDescent="0.25">
      <c r="A38">
        <v>7194802793</v>
      </c>
      <c r="B38">
        <v>1</v>
      </c>
      <c r="C38" t="s">
        <v>15</v>
      </c>
      <c r="D38">
        <v>4.6333570000000002</v>
      </c>
      <c r="E38">
        <v>-74.117958999999999</v>
      </c>
      <c r="F38" s="1">
        <f t="shared" si="3"/>
        <v>171</v>
      </c>
      <c r="G38">
        <v>7194802793</v>
      </c>
      <c r="H38">
        <v>4.6333570000000002</v>
      </c>
      <c r="I38">
        <v>7194802793</v>
      </c>
      <c r="J38">
        <v>-74.117958999999999</v>
      </c>
      <c r="L38">
        <v>37</v>
      </c>
      <c r="M38">
        <v>7194802793</v>
      </c>
      <c r="N38">
        <f t="shared" si="0"/>
        <v>1</v>
      </c>
      <c r="O38">
        <f t="shared" si="1"/>
        <v>170</v>
      </c>
      <c r="P38">
        <f t="shared" si="2"/>
        <v>0</v>
      </c>
      <c r="Q38">
        <f t="shared" si="4"/>
        <v>171</v>
      </c>
      <c r="R38" s="2">
        <f t="shared" si="5"/>
        <v>4.6333570000000002</v>
      </c>
      <c r="S38" s="2">
        <f t="shared" si="6"/>
        <v>-74.117958999999999</v>
      </c>
      <c r="U38">
        <v>37</v>
      </c>
      <c r="V38">
        <v>7194802793</v>
      </c>
      <c r="W38">
        <v>1</v>
      </c>
      <c r="X38">
        <v>170</v>
      </c>
      <c r="Y38">
        <v>0</v>
      </c>
      <c r="Z38">
        <v>171</v>
      </c>
      <c r="AA38" s="2">
        <v>4.6333570000000002</v>
      </c>
      <c r="AB38" s="2">
        <v>-74.117958999999999</v>
      </c>
    </row>
    <row r="39" spans="1:28" x14ac:dyDescent="0.25">
      <c r="A39">
        <v>7194816142</v>
      </c>
      <c r="B39">
        <v>59</v>
      </c>
      <c r="C39" t="s">
        <v>15</v>
      </c>
      <c r="D39">
        <v>4.6366180000000004</v>
      </c>
      <c r="E39">
        <v>-74.065062999999995</v>
      </c>
      <c r="F39" s="1">
        <f t="shared" si="3"/>
        <v>87</v>
      </c>
      <c r="G39">
        <v>7194816142</v>
      </c>
      <c r="H39">
        <v>4.6366180000000004</v>
      </c>
      <c r="I39">
        <v>7194816142</v>
      </c>
      <c r="J39">
        <v>-74.065062999999995</v>
      </c>
      <c r="L39">
        <v>38</v>
      </c>
      <c r="M39">
        <v>7194816142</v>
      </c>
      <c r="N39">
        <f t="shared" si="0"/>
        <v>59</v>
      </c>
      <c r="O39">
        <f t="shared" si="1"/>
        <v>28</v>
      </c>
      <c r="P39">
        <f t="shared" si="2"/>
        <v>0</v>
      </c>
      <c r="Q39">
        <f t="shared" si="4"/>
        <v>87</v>
      </c>
      <c r="R39" s="2">
        <f t="shared" si="5"/>
        <v>4.6366180000000004</v>
      </c>
      <c r="S39" s="2">
        <f t="shared" si="6"/>
        <v>-74.065062999999995</v>
      </c>
      <c r="U39">
        <v>38</v>
      </c>
      <c r="V39">
        <v>7194816142</v>
      </c>
      <c r="W39">
        <v>59</v>
      </c>
      <c r="X39">
        <v>28</v>
      </c>
      <c r="Y39">
        <v>0</v>
      </c>
      <c r="Z39">
        <v>87</v>
      </c>
      <c r="AA39" s="2">
        <v>4.6366180000000004</v>
      </c>
      <c r="AB39" s="2">
        <v>-74.065062999999995</v>
      </c>
    </row>
    <row r="40" spans="1:28" x14ac:dyDescent="0.25">
      <c r="A40">
        <v>7194869095</v>
      </c>
      <c r="B40">
        <v>17</v>
      </c>
      <c r="C40" t="s">
        <v>15</v>
      </c>
      <c r="D40">
        <v>4.6385800000000001</v>
      </c>
      <c r="E40">
        <v>-74.119645000000006</v>
      </c>
      <c r="F40" s="1">
        <f t="shared" si="3"/>
        <v>88</v>
      </c>
      <c r="G40">
        <v>7194869095</v>
      </c>
      <c r="H40">
        <v>4.6385800000000001</v>
      </c>
      <c r="I40">
        <v>7194869095</v>
      </c>
      <c r="J40">
        <v>-74.119645000000006</v>
      </c>
      <c r="L40">
        <v>39</v>
      </c>
      <c r="M40">
        <v>7194869095</v>
      </c>
      <c r="N40">
        <f t="shared" si="0"/>
        <v>17</v>
      </c>
      <c r="O40">
        <f t="shared" si="1"/>
        <v>71</v>
      </c>
      <c r="P40">
        <f t="shared" si="2"/>
        <v>0</v>
      </c>
      <c r="Q40">
        <f t="shared" si="4"/>
        <v>88</v>
      </c>
      <c r="R40" s="2">
        <f t="shared" si="5"/>
        <v>4.6385800000000001</v>
      </c>
      <c r="S40" s="2">
        <f t="shared" si="6"/>
        <v>-74.119645000000006</v>
      </c>
      <c r="U40">
        <v>39</v>
      </c>
      <c r="V40">
        <v>7194869095</v>
      </c>
      <c r="W40">
        <v>17</v>
      </c>
      <c r="X40">
        <v>71</v>
      </c>
      <c r="Y40">
        <v>0</v>
      </c>
      <c r="Z40">
        <v>88</v>
      </c>
      <c r="AA40" s="2">
        <v>4.6385800000000001</v>
      </c>
      <c r="AB40" s="2">
        <v>-74.119645000000006</v>
      </c>
    </row>
    <row r="41" spans="1:28" x14ac:dyDescent="0.25">
      <c r="A41">
        <v>7194851042</v>
      </c>
      <c r="B41">
        <v>5</v>
      </c>
      <c r="C41" t="s">
        <v>15</v>
      </c>
      <c r="D41">
        <v>4.6386289999999999</v>
      </c>
      <c r="E41">
        <v>-74.098095000000001</v>
      </c>
      <c r="F41" s="1">
        <f t="shared" si="3"/>
        <v>5</v>
      </c>
      <c r="G41">
        <v>7194851042</v>
      </c>
      <c r="H41">
        <v>4.6386289999999999</v>
      </c>
      <c r="I41">
        <v>7194851042</v>
      </c>
      <c r="J41">
        <v>-74.098095000000001</v>
      </c>
      <c r="L41">
        <v>40</v>
      </c>
      <c r="M41">
        <v>7194851042</v>
      </c>
      <c r="N41">
        <f t="shared" si="0"/>
        <v>5</v>
      </c>
      <c r="O41">
        <f t="shared" si="1"/>
        <v>0</v>
      </c>
      <c r="P41">
        <f t="shared" si="2"/>
        <v>0</v>
      </c>
      <c r="Q41">
        <f t="shared" si="4"/>
        <v>5</v>
      </c>
      <c r="R41" s="2">
        <f t="shared" si="5"/>
        <v>4.6386289999999999</v>
      </c>
      <c r="S41" s="2">
        <f t="shared" si="6"/>
        <v>-74.098095000000001</v>
      </c>
      <c r="U41">
        <v>40</v>
      </c>
      <c r="V41">
        <v>7194851042</v>
      </c>
      <c r="W41">
        <v>5</v>
      </c>
      <c r="X41">
        <v>0</v>
      </c>
      <c r="Y41">
        <v>0</v>
      </c>
      <c r="Z41">
        <v>5</v>
      </c>
      <c r="AA41" s="2">
        <v>4.6386289999999999</v>
      </c>
      <c r="AB41" s="2">
        <v>-74.098095000000001</v>
      </c>
    </row>
    <row r="42" spans="1:28" x14ac:dyDescent="0.25">
      <c r="A42">
        <v>7194858484</v>
      </c>
      <c r="B42">
        <v>24</v>
      </c>
      <c r="C42" t="s">
        <v>15</v>
      </c>
      <c r="D42">
        <v>4.6390440000000002</v>
      </c>
      <c r="E42">
        <v>-74.098243999999994</v>
      </c>
      <c r="F42" s="1">
        <f t="shared" si="3"/>
        <v>24</v>
      </c>
      <c r="G42">
        <v>7194858484</v>
      </c>
      <c r="H42">
        <v>4.6390440000000002</v>
      </c>
      <c r="I42">
        <v>7194858484</v>
      </c>
      <c r="J42">
        <v>-74.098243999999994</v>
      </c>
      <c r="L42">
        <v>41</v>
      </c>
      <c r="M42">
        <v>7194858484</v>
      </c>
      <c r="N42">
        <f t="shared" si="0"/>
        <v>24</v>
      </c>
      <c r="O42">
        <f t="shared" si="1"/>
        <v>0</v>
      </c>
      <c r="P42">
        <f t="shared" si="2"/>
        <v>0</v>
      </c>
      <c r="Q42">
        <f t="shared" si="4"/>
        <v>24</v>
      </c>
      <c r="R42" s="2">
        <f t="shared" si="5"/>
        <v>4.6390440000000002</v>
      </c>
      <c r="S42" s="2">
        <f t="shared" si="6"/>
        <v>-74.098243999999994</v>
      </c>
      <c r="U42">
        <v>41</v>
      </c>
      <c r="V42">
        <v>7194858484</v>
      </c>
      <c r="W42">
        <v>24</v>
      </c>
      <c r="X42">
        <v>0</v>
      </c>
      <c r="Y42">
        <v>0</v>
      </c>
      <c r="Z42">
        <v>24</v>
      </c>
      <c r="AA42" s="2">
        <v>4.6390440000000002</v>
      </c>
      <c r="AB42" s="2">
        <v>-74.098243999999994</v>
      </c>
    </row>
    <row r="43" spans="1:28" x14ac:dyDescent="0.25">
      <c r="A43">
        <v>7194838823</v>
      </c>
      <c r="B43">
        <v>5</v>
      </c>
      <c r="C43" t="s">
        <v>15</v>
      </c>
      <c r="D43">
        <v>4.6410819999999999</v>
      </c>
      <c r="E43">
        <v>-74.123429000000002</v>
      </c>
      <c r="F43" s="1">
        <f t="shared" si="3"/>
        <v>44</v>
      </c>
      <c r="G43">
        <v>7194838823</v>
      </c>
      <c r="H43">
        <v>4.6410819999999999</v>
      </c>
      <c r="I43">
        <v>7194838823</v>
      </c>
      <c r="J43">
        <v>-74.123429000000002</v>
      </c>
      <c r="L43">
        <v>42</v>
      </c>
      <c r="M43">
        <v>7194838823</v>
      </c>
      <c r="N43">
        <f t="shared" si="0"/>
        <v>5</v>
      </c>
      <c r="O43">
        <f t="shared" si="1"/>
        <v>39</v>
      </c>
      <c r="P43">
        <f t="shared" si="2"/>
        <v>0</v>
      </c>
      <c r="Q43">
        <f t="shared" si="4"/>
        <v>44</v>
      </c>
      <c r="R43" s="2">
        <f t="shared" si="5"/>
        <v>4.6410819999999999</v>
      </c>
      <c r="S43" s="2">
        <f t="shared" si="6"/>
        <v>-74.123429000000002</v>
      </c>
      <c r="U43">
        <v>42</v>
      </c>
      <c r="V43">
        <v>7194838823</v>
      </c>
      <c r="W43">
        <v>5</v>
      </c>
      <c r="X43">
        <v>39</v>
      </c>
      <c r="Y43">
        <v>0</v>
      </c>
      <c r="Z43">
        <v>44</v>
      </c>
      <c r="AA43" s="2">
        <v>4.6410819999999999</v>
      </c>
      <c r="AB43" s="2">
        <v>-74.123429000000002</v>
      </c>
    </row>
    <row r="44" spans="1:28" x14ac:dyDescent="0.25">
      <c r="A44">
        <v>7194868925</v>
      </c>
      <c r="B44">
        <v>2</v>
      </c>
      <c r="C44" t="s">
        <v>15</v>
      </c>
      <c r="D44">
        <v>4.6410830000000001</v>
      </c>
      <c r="E44">
        <v>-74.114226000000002</v>
      </c>
      <c r="F44" s="1">
        <f t="shared" si="3"/>
        <v>273</v>
      </c>
      <c r="G44">
        <v>7194868925</v>
      </c>
      <c r="H44">
        <v>4.6410830000000001</v>
      </c>
      <c r="I44">
        <v>7194868925</v>
      </c>
      <c r="J44">
        <v>-74.114226000000002</v>
      </c>
      <c r="L44">
        <v>43</v>
      </c>
      <c r="M44">
        <v>7194868925</v>
      </c>
      <c r="N44">
        <f t="shared" si="0"/>
        <v>2</v>
      </c>
      <c r="O44">
        <f t="shared" si="1"/>
        <v>271</v>
      </c>
      <c r="P44">
        <f t="shared" si="2"/>
        <v>0</v>
      </c>
      <c r="Q44">
        <f t="shared" si="4"/>
        <v>273</v>
      </c>
      <c r="R44" s="2">
        <f t="shared" si="5"/>
        <v>4.6410830000000001</v>
      </c>
      <c r="S44" s="2">
        <f t="shared" si="6"/>
        <v>-74.114226000000002</v>
      </c>
      <c r="U44">
        <v>43</v>
      </c>
      <c r="V44">
        <v>7194868925</v>
      </c>
      <c r="W44">
        <v>2</v>
      </c>
      <c r="X44">
        <v>271</v>
      </c>
      <c r="Y44">
        <v>0</v>
      </c>
      <c r="Z44">
        <v>273</v>
      </c>
      <c r="AA44" s="2">
        <v>4.6410830000000001</v>
      </c>
      <c r="AB44" s="2">
        <v>-74.114226000000002</v>
      </c>
    </row>
    <row r="45" spans="1:28" x14ac:dyDescent="0.25">
      <c r="A45">
        <v>7194815329</v>
      </c>
      <c r="B45">
        <v>3</v>
      </c>
      <c r="C45" t="s">
        <v>15</v>
      </c>
      <c r="D45">
        <v>4.6435389999999996</v>
      </c>
      <c r="E45">
        <v>-74.115739000000005</v>
      </c>
      <c r="F45" s="1">
        <f t="shared" si="3"/>
        <v>19</v>
      </c>
      <c r="G45">
        <v>7194815329</v>
      </c>
      <c r="H45">
        <v>4.6435389999999996</v>
      </c>
      <c r="I45">
        <v>7194815329</v>
      </c>
      <c r="J45">
        <v>-74.115739000000005</v>
      </c>
      <c r="L45">
        <v>44</v>
      </c>
      <c r="M45">
        <v>7194815329</v>
      </c>
      <c r="N45">
        <f t="shared" si="0"/>
        <v>3</v>
      </c>
      <c r="O45">
        <f t="shared" si="1"/>
        <v>4</v>
      </c>
      <c r="P45">
        <f t="shared" si="2"/>
        <v>12</v>
      </c>
      <c r="Q45">
        <f t="shared" si="4"/>
        <v>19</v>
      </c>
      <c r="R45" s="2">
        <f t="shared" si="5"/>
        <v>4.6435389999999996</v>
      </c>
      <c r="S45" s="2">
        <f t="shared" si="6"/>
        <v>-74.115739000000005</v>
      </c>
      <c r="U45">
        <v>44</v>
      </c>
      <c r="V45">
        <v>7194815329</v>
      </c>
      <c r="W45">
        <v>3</v>
      </c>
      <c r="X45">
        <v>4</v>
      </c>
      <c r="Y45">
        <v>12</v>
      </c>
      <c r="Z45">
        <v>19</v>
      </c>
      <c r="AA45" s="2">
        <v>4.6435389999999996</v>
      </c>
      <c r="AB45" s="2">
        <v>-74.115739000000005</v>
      </c>
    </row>
    <row r="46" spans="1:28" x14ac:dyDescent="0.25">
      <c r="A46">
        <v>7194867551</v>
      </c>
      <c r="B46">
        <v>305</v>
      </c>
      <c r="C46" t="s">
        <v>15</v>
      </c>
      <c r="D46">
        <v>4.6451510000000003</v>
      </c>
      <c r="E46">
        <v>-74.099777000000003</v>
      </c>
      <c r="F46" s="1">
        <f t="shared" si="3"/>
        <v>305</v>
      </c>
      <c r="G46">
        <v>7194867551</v>
      </c>
      <c r="H46">
        <v>4.6451510000000003</v>
      </c>
      <c r="I46">
        <v>7194867551</v>
      </c>
      <c r="J46">
        <v>-74.099777000000003</v>
      </c>
      <c r="L46">
        <v>45</v>
      </c>
      <c r="M46">
        <v>7194867551</v>
      </c>
      <c r="N46">
        <f t="shared" si="0"/>
        <v>305</v>
      </c>
      <c r="O46">
        <f t="shared" si="1"/>
        <v>0</v>
      </c>
      <c r="P46">
        <f t="shared" si="2"/>
        <v>0</v>
      </c>
      <c r="Q46">
        <f t="shared" si="4"/>
        <v>305</v>
      </c>
      <c r="R46" s="2">
        <f t="shared" si="5"/>
        <v>4.6451510000000003</v>
      </c>
      <c r="S46" s="2">
        <f t="shared" si="6"/>
        <v>-74.099777000000003</v>
      </c>
      <c r="U46">
        <v>45</v>
      </c>
      <c r="V46">
        <v>7194867551</v>
      </c>
      <c r="W46">
        <v>305</v>
      </c>
      <c r="X46">
        <v>0</v>
      </c>
      <c r="Y46">
        <v>0</v>
      </c>
      <c r="Z46">
        <v>305</v>
      </c>
      <c r="AA46" s="2">
        <v>4.6451510000000003</v>
      </c>
      <c r="AB46" s="2">
        <v>-74.099777000000003</v>
      </c>
    </row>
    <row r="47" spans="1:28" x14ac:dyDescent="0.25">
      <c r="A47">
        <v>7194850840</v>
      </c>
      <c r="B47">
        <v>15</v>
      </c>
      <c r="C47" t="s">
        <v>15</v>
      </c>
      <c r="D47">
        <v>4.6459349999999997</v>
      </c>
      <c r="E47">
        <v>-74.103599000000003</v>
      </c>
      <c r="F47" s="1">
        <f t="shared" si="3"/>
        <v>15</v>
      </c>
      <c r="G47">
        <v>7194850840</v>
      </c>
      <c r="H47">
        <v>4.6459349999999997</v>
      </c>
      <c r="I47">
        <v>7194850840</v>
      </c>
      <c r="J47">
        <v>-74.103599000000003</v>
      </c>
      <c r="L47">
        <v>46</v>
      </c>
      <c r="M47">
        <v>7194850840</v>
      </c>
      <c r="N47">
        <f t="shared" si="0"/>
        <v>15</v>
      </c>
      <c r="O47">
        <f t="shared" si="1"/>
        <v>0</v>
      </c>
      <c r="P47">
        <f t="shared" si="2"/>
        <v>0</v>
      </c>
      <c r="Q47">
        <f t="shared" si="4"/>
        <v>15</v>
      </c>
      <c r="R47" s="2">
        <f t="shared" si="5"/>
        <v>4.6459349999999997</v>
      </c>
      <c r="S47" s="2">
        <f t="shared" si="6"/>
        <v>-74.103599000000003</v>
      </c>
      <c r="U47">
        <v>46</v>
      </c>
      <c r="V47">
        <v>7194850840</v>
      </c>
      <c r="W47">
        <v>15</v>
      </c>
      <c r="X47">
        <v>0</v>
      </c>
      <c r="Y47">
        <v>0</v>
      </c>
      <c r="Z47">
        <v>15</v>
      </c>
      <c r="AA47" s="2">
        <v>4.6459349999999997</v>
      </c>
      <c r="AB47" s="2">
        <v>-74.103599000000003</v>
      </c>
    </row>
    <row r="48" spans="1:28" x14ac:dyDescent="0.25">
      <c r="A48">
        <v>7194845772</v>
      </c>
      <c r="B48">
        <v>2</v>
      </c>
      <c r="C48" t="s">
        <v>15</v>
      </c>
      <c r="D48">
        <v>4.6459830000000002</v>
      </c>
      <c r="E48">
        <v>-74.060243999999997</v>
      </c>
      <c r="F48" s="1">
        <f t="shared" si="3"/>
        <v>20</v>
      </c>
      <c r="G48">
        <v>7194845772</v>
      </c>
      <c r="H48">
        <v>4.6459830000000002</v>
      </c>
      <c r="I48">
        <v>7194845772</v>
      </c>
      <c r="J48">
        <v>-74.060243999999997</v>
      </c>
      <c r="L48">
        <v>47</v>
      </c>
      <c r="M48">
        <v>7194845772</v>
      </c>
      <c r="N48">
        <f t="shared" si="0"/>
        <v>2</v>
      </c>
      <c r="O48">
        <f t="shared" si="1"/>
        <v>18</v>
      </c>
      <c r="P48">
        <f t="shared" si="2"/>
        <v>0</v>
      </c>
      <c r="Q48">
        <f t="shared" si="4"/>
        <v>20</v>
      </c>
      <c r="R48" s="2">
        <f t="shared" si="5"/>
        <v>4.6459830000000002</v>
      </c>
      <c r="S48" s="2">
        <f t="shared" si="6"/>
        <v>-74.060243999999997</v>
      </c>
      <c r="U48">
        <v>47</v>
      </c>
      <c r="V48">
        <v>7194845772</v>
      </c>
      <c r="W48">
        <v>2</v>
      </c>
      <c r="X48">
        <v>18</v>
      </c>
      <c r="Y48">
        <v>0</v>
      </c>
      <c r="Z48">
        <v>20</v>
      </c>
      <c r="AA48" s="2">
        <v>4.6459830000000002</v>
      </c>
      <c r="AB48" s="2">
        <v>-74.060243999999997</v>
      </c>
    </row>
    <row r="49" spans="1:28" x14ac:dyDescent="0.25">
      <c r="A49">
        <v>7194838571</v>
      </c>
      <c r="B49">
        <v>118</v>
      </c>
      <c r="C49" t="s">
        <v>15</v>
      </c>
      <c r="D49">
        <v>4.6471479999999996</v>
      </c>
      <c r="E49">
        <v>-74.105746999999994</v>
      </c>
      <c r="F49" s="1">
        <f t="shared" si="3"/>
        <v>558</v>
      </c>
      <c r="G49">
        <v>7194838571</v>
      </c>
      <c r="H49">
        <v>4.6471479999999996</v>
      </c>
      <c r="I49">
        <v>7194838571</v>
      </c>
      <c r="J49">
        <v>-74.105746999999994</v>
      </c>
      <c r="L49">
        <v>48</v>
      </c>
      <c r="M49">
        <v>7194838571</v>
      </c>
      <c r="N49">
        <f t="shared" si="0"/>
        <v>118</v>
      </c>
      <c r="O49">
        <f t="shared" si="1"/>
        <v>440</v>
      </c>
      <c r="P49">
        <f t="shared" si="2"/>
        <v>0</v>
      </c>
      <c r="Q49">
        <f t="shared" si="4"/>
        <v>558</v>
      </c>
      <c r="R49" s="2">
        <f t="shared" si="5"/>
        <v>4.6471479999999996</v>
      </c>
      <c r="S49" s="2">
        <f t="shared" si="6"/>
        <v>-74.105746999999994</v>
      </c>
      <c r="U49">
        <v>48</v>
      </c>
      <c r="V49">
        <v>7194838571</v>
      </c>
      <c r="W49">
        <v>118</v>
      </c>
      <c r="X49">
        <v>440</v>
      </c>
      <c r="Y49">
        <v>0</v>
      </c>
      <c r="Z49">
        <v>558</v>
      </c>
      <c r="AA49" s="2">
        <v>4.6471479999999996</v>
      </c>
      <c r="AB49" s="2">
        <v>-74.105746999999994</v>
      </c>
    </row>
    <row r="50" spans="1:28" x14ac:dyDescent="0.25">
      <c r="A50">
        <v>7194826177</v>
      </c>
      <c r="B50">
        <v>25</v>
      </c>
      <c r="C50" t="s">
        <v>15</v>
      </c>
      <c r="D50">
        <v>4.6502090000000003</v>
      </c>
      <c r="E50">
        <v>-74.122673000000006</v>
      </c>
      <c r="F50" s="1">
        <f t="shared" si="3"/>
        <v>113</v>
      </c>
      <c r="G50">
        <v>7194826177</v>
      </c>
      <c r="H50">
        <v>4.6502090000000003</v>
      </c>
      <c r="I50">
        <v>7194826177</v>
      </c>
      <c r="J50">
        <v>-74.122673000000006</v>
      </c>
      <c r="L50">
        <v>49</v>
      </c>
      <c r="M50">
        <v>7194826177</v>
      </c>
      <c r="N50">
        <f t="shared" si="0"/>
        <v>25</v>
      </c>
      <c r="O50">
        <f t="shared" si="1"/>
        <v>88</v>
      </c>
      <c r="P50">
        <f t="shared" si="2"/>
        <v>0</v>
      </c>
      <c r="Q50">
        <f t="shared" si="4"/>
        <v>113</v>
      </c>
      <c r="R50" s="2">
        <f t="shared" si="5"/>
        <v>4.6502090000000003</v>
      </c>
      <c r="S50" s="2">
        <f t="shared" si="6"/>
        <v>-74.122673000000006</v>
      </c>
      <c r="U50">
        <v>49</v>
      </c>
      <c r="V50">
        <v>7194826177</v>
      </c>
      <c r="W50">
        <v>25</v>
      </c>
      <c r="X50">
        <v>88</v>
      </c>
      <c r="Y50">
        <v>0</v>
      </c>
      <c r="Z50">
        <v>113</v>
      </c>
      <c r="AA50" s="2">
        <v>4.6502090000000003</v>
      </c>
      <c r="AB50" s="2">
        <v>-74.122673000000006</v>
      </c>
    </row>
    <row r="51" spans="1:28" x14ac:dyDescent="0.25">
      <c r="A51">
        <v>7194865828</v>
      </c>
      <c r="B51">
        <v>6</v>
      </c>
      <c r="C51" t="s">
        <v>15</v>
      </c>
      <c r="D51">
        <v>4.6514499999999996</v>
      </c>
      <c r="E51">
        <v>-74.055454999999995</v>
      </c>
      <c r="F51" s="1">
        <f t="shared" si="3"/>
        <v>6</v>
      </c>
      <c r="G51">
        <v>7194865828</v>
      </c>
      <c r="H51">
        <v>4.6514499999999996</v>
      </c>
      <c r="I51">
        <v>7194865828</v>
      </c>
      <c r="J51">
        <v>-74.055454999999995</v>
      </c>
      <c r="L51">
        <v>50</v>
      </c>
      <c r="M51">
        <v>7194865828</v>
      </c>
      <c r="N51">
        <f t="shared" si="0"/>
        <v>6</v>
      </c>
      <c r="O51">
        <f t="shared" si="1"/>
        <v>0</v>
      </c>
      <c r="P51">
        <f t="shared" si="2"/>
        <v>0</v>
      </c>
      <c r="Q51">
        <f t="shared" si="4"/>
        <v>6</v>
      </c>
      <c r="R51" s="2">
        <f t="shared" si="5"/>
        <v>4.6514499999999996</v>
      </c>
      <c r="S51" s="2">
        <f t="shared" si="6"/>
        <v>-74.055454999999995</v>
      </c>
      <c r="U51">
        <v>50</v>
      </c>
      <c r="V51">
        <v>7194865828</v>
      </c>
      <c r="W51">
        <v>6</v>
      </c>
      <c r="X51">
        <v>0</v>
      </c>
      <c r="Y51">
        <v>0</v>
      </c>
      <c r="Z51">
        <v>6</v>
      </c>
      <c r="AA51" s="2">
        <v>4.6514499999999996</v>
      </c>
      <c r="AB51" s="2">
        <v>-74.055454999999995</v>
      </c>
    </row>
    <row r="52" spans="1:28" x14ac:dyDescent="0.25">
      <c r="A52">
        <v>7194870304</v>
      </c>
      <c r="B52">
        <v>44</v>
      </c>
      <c r="C52" t="s">
        <v>15</v>
      </c>
      <c r="D52">
        <v>4.6515950000000004</v>
      </c>
      <c r="E52">
        <v>-74.106772000000007</v>
      </c>
      <c r="F52" s="1">
        <f t="shared" si="3"/>
        <v>80</v>
      </c>
      <c r="G52">
        <v>7194870304</v>
      </c>
      <c r="H52">
        <v>4.6515950000000004</v>
      </c>
      <c r="I52">
        <v>7194870304</v>
      </c>
      <c r="J52">
        <v>-74.106772000000007</v>
      </c>
      <c r="L52">
        <v>51</v>
      </c>
      <c r="M52">
        <v>7194870304</v>
      </c>
      <c r="N52">
        <f t="shared" si="0"/>
        <v>44</v>
      </c>
      <c r="O52">
        <f t="shared" si="1"/>
        <v>36</v>
      </c>
      <c r="P52">
        <f t="shared" si="2"/>
        <v>0</v>
      </c>
      <c r="Q52">
        <f t="shared" si="4"/>
        <v>80</v>
      </c>
      <c r="R52" s="2">
        <f t="shared" si="5"/>
        <v>4.6515950000000004</v>
      </c>
      <c r="S52" s="2">
        <f t="shared" si="6"/>
        <v>-74.106772000000007</v>
      </c>
      <c r="U52">
        <v>51</v>
      </c>
      <c r="V52">
        <v>7194870304</v>
      </c>
      <c r="W52">
        <v>44</v>
      </c>
      <c r="X52">
        <v>36</v>
      </c>
      <c r="Y52">
        <v>0</v>
      </c>
      <c r="Z52">
        <v>80</v>
      </c>
      <c r="AA52" s="2">
        <v>4.6515950000000004</v>
      </c>
      <c r="AB52" s="2">
        <v>-74.106772000000007</v>
      </c>
    </row>
    <row r="53" spans="1:28" x14ac:dyDescent="0.25">
      <c r="A53">
        <v>7194865835</v>
      </c>
      <c r="B53">
        <v>9</v>
      </c>
      <c r="C53" t="s">
        <v>15</v>
      </c>
      <c r="D53">
        <v>4.652101</v>
      </c>
      <c r="E53">
        <v>-74.054826000000006</v>
      </c>
      <c r="F53" s="1">
        <f t="shared" si="3"/>
        <v>9</v>
      </c>
      <c r="G53">
        <v>7194865835</v>
      </c>
      <c r="H53">
        <v>4.652101</v>
      </c>
      <c r="I53">
        <v>7194865835</v>
      </c>
      <c r="J53">
        <v>-74.054826000000006</v>
      </c>
      <c r="L53">
        <v>52</v>
      </c>
      <c r="M53">
        <v>7194865835</v>
      </c>
      <c r="N53">
        <f t="shared" si="0"/>
        <v>9</v>
      </c>
      <c r="O53">
        <f t="shared" si="1"/>
        <v>0</v>
      </c>
      <c r="P53">
        <f t="shared" si="2"/>
        <v>0</v>
      </c>
      <c r="Q53">
        <f t="shared" si="4"/>
        <v>9</v>
      </c>
      <c r="R53" s="2">
        <f t="shared" si="5"/>
        <v>4.652101</v>
      </c>
      <c r="S53" s="2">
        <f t="shared" si="6"/>
        <v>-74.054826000000006</v>
      </c>
      <c r="U53">
        <v>52</v>
      </c>
      <c r="V53">
        <v>7194865835</v>
      </c>
      <c r="W53">
        <v>9</v>
      </c>
      <c r="X53">
        <v>0</v>
      </c>
      <c r="Y53">
        <v>0</v>
      </c>
      <c r="Z53">
        <v>9</v>
      </c>
      <c r="AA53" s="2">
        <v>4.652101</v>
      </c>
      <c r="AB53" s="2">
        <v>-74.054826000000006</v>
      </c>
    </row>
    <row r="54" spans="1:28" x14ac:dyDescent="0.25">
      <c r="A54">
        <v>7194850316</v>
      </c>
      <c r="B54">
        <v>16</v>
      </c>
      <c r="C54" t="s">
        <v>15</v>
      </c>
      <c r="D54">
        <v>4.6525369999999997</v>
      </c>
      <c r="E54">
        <v>-74.109316000000007</v>
      </c>
      <c r="F54" s="1">
        <f t="shared" si="3"/>
        <v>33</v>
      </c>
      <c r="G54">
        <v>7194850316</v>
      </c>
      <c r="H54">
        <v>4.6525369999999997</v>
      </c>
      <c r="I54">
        <v>7194850316</v>
      </c>
      <c r="J54">
        <v>-74.109316000000007</v>
      </c>
      <c r="L54">
        <v>53</v>
      </c>
      <c r="M54">
        <v>7194850316</v>
      </c>
      <c r="N54">
        <f t="shared" si="0"/>
        <v>16</v>
      </c>
      <c r="O54">
        <f t="shared" si="1"/>
        <v>17</v>
      </c>
      <c r="P54">
        <f t="shared" si="2"/>
        <v>0</v>
      </c>
      <c r="Q54">
        <f t="shared" si="4"/>
        <v>33</v>
      </c>
      <c r="R54" s="2">
        <f t="shared" si="5"/>
        <v>4.6525369999999997</v>
      </c>
      <c r="S54" s="2">
        <f t="shared" si="6"/>
        <v>-74.109316000000007</v>
      </c>
      <c r="U54">
        <v>53</v>
      </c>
      <c r="V54">
        <v>7194850316</v>
      </c>
      <c r="W54">
        <v>16</v>
      </c>
      <c r="X54">
        <v>17</v>
      </c>
      <c r="Y54">
        <v>0</v>
      </c>
      <c r="Z54">
        <v>33</v>
      </c>
      <c r="AA54" s="2">
        <v>4.6525369999999997</v>
      </c>
      <c r="AB54" s="2">
        <v>-74.109316000000007</v>
      </c>
    </row>
    <row r="55" spans="1:28" x14ac:dyDescent="0.25">
      <c r="A55">
        <v>7194847518</v>
      </c>
      <c r="B55">
        <v>53</v>
      </c>
      <c r="C55" t="s">
        <v>15</v>
      </c>
      <c r="D55">
        <v>4.6528479999999997</v>
      </c>
      <c r="E55">
        <v>-74.101584000000003</v>
      </c>
      <c r="F55" s="1">
        <f t="shared" si="3"/>
        <v>85</v>
      </c>
      <c r="G55">
        <v>7194847518</v>
      </c>
      <c r="H55">
        <v>4.6528479999999997</v>
      </c>
      <c r="I55">
        <v>7194847518</v>
      </c>
      <c r="J55">
        <v>-74.101584000000003</v>
      </c>
      <c r="L55">
        <v>54</v>
      </c>
      <c r="M55">
        <v>7194847518</v>
      </c>
      <c r="N55">
        <f t="shared" si="0"/>
        <v>53</v>
      </c>
      <c r="O55">
        <f t="shared" si="1"/>
        <v>32</v>
      </c>
      <c r="P55">
        <f t="shared" si="2"/>
        <v>0</v>
      </c>
      <c r="Q55">
        <f t="shared" si="4"/>
        <v>85</v>
      </c>
      <c r="R55" s="2">
        <f t="shared" si="5"/>
        <v>4.6528479999999997</v>
      </c>
      <c r="S55" s="2">
        <f t="shared" si="6"/>
        <v>-74.101584000000003</v>
      </c>
      <c r="U55">
        <v>54</v>
      </c>
      <c r="V55">
        <v>7194847518</v>
      </c>
      <c r="W55">
        <v>53</v>
      </c>
      <c r="X55">
        <v>32</v>
      </c>
      <c r="Y55">
        <v>0</v>
      </c>
      <c r="Z55">
        <v>85</v>
      </c>
      <c r="AA55" s="2">
        <v>4.6528479999999997</v>
      </c>
      <c r="AB55" s="2">
        <v>-74.101584000000003</v>
      </c>
    </row>
    <row r="56" spans="1:28" x14ac:dyDescent="0.25">
      <c r="A56">
        <v>7194858461</v>
      </c>
      <c r="B56">
        <v>29</v>
      </c>
      <c r="C56" t="s">
        <v>15</v>
      </c>
      <c r="D56">
        <v>4.6540350000000004</v>
      </c>
      <c r="E56">
        <v>-74.043012000000004</v>
      </c>
      <c r="F56" s="1">
        <f t="shared" si="3"/>
        <v>109</v>
      </c>
      <c r="G56">
        <v>7194858461</v>
      </c>
      <c r="H56">
        <v>4.6540350000000004</v>
      </c>
      <c r="I56">
        <v>7194858461</v>
      </c>
      <c r="J56">
        <v>-74.043012000000004</v>
      </c>
      <c r="L56">
        <v>55</v>
      </c>
      <c r="M56">
        <v>7194858461</v>
      </c>
      <c r="N56">
        <f t="shared" si="0"/>
        <v>29</v>
      </c>
      <c r="O56">
        <f t="shared" si="1"/>
        <v>71</v>
      </c>
      <c r="P56">
        <f t="shared" si="2"/>
        <v>9</v>
      </c>
      <c r="Q56">
        <f t="shared" si="4"/>
        <v>109</v>
      </c>
      <c r="R56" s="2">
        <f t="shared" si="5"/>
        <v>4.6540350000000004</v>
      </c>
      <c r="S56" s="2">
        <f t="shared" si="6"/>
        <v>-74.043012000000004</v>
      </c>
      <c r="U56">
        <v>55</v>
      </c>
      <c r="V56">
        <v>7194858461</v>
      </c>
      <c r="W56">
        <v>29</v>
      </c>
      <c r="X56">
        <v>71</v>
      </c>
      <c r="Y56">
        <v>9</v>
      </c>
      <c r="Z56">
        <v>109</v>
      </c>
      <c r="AA56" s="2">
        <v>4.6540350000000004</v>
      </c>
      <c r="AB56" s="2">
        <v>-74.043012000000004</v>
      </c>
    </row>
    <row r="57" spans="1:28" x14ac:dyDescent="0.25">
      <c r="A57">
        <v>7194864883</v>
      </c>
      <c r="B57">
        <v>100</v>
      </c>
      <c r="C57" t="s">
        <v>15</v>
      </c>
      <c r="D57">
        <v>4.6545730000000001</v>
      </c>
      <c r="E57">
        <v>-74.077443000000002</v>
      </c>
      <c r="F57" s="1">
        <f t="shared" si="3"/>
        <v>100</v>
      </c>
      <c r="G57">
        <v>7194864883</v>
      </c>
      <c r="H57">
        <v>4.6545730000000001</v>
      </c>
      <c r="I57">
        <v>7194864883</v>
      </c>
      <c r="J57">
        <v>-74.077443000000002</v>
      </c>
      <c r="L57">
        <v>56</v>
      </c>
      <c r="M57">
        <v>7194864883</v>
      </c>
      <c r="N57">
        <f t="shared" si="0"/>
        <v>100</v>
      </c>
      <c r="O57">
        <f t="shared" si="1"/>
        <v>0</v>
      </c>
      <c r="P57">
        <f t="shared" si="2"/>
        <v>0</v>
      </c>
      <c r="Q57">
        <f t="shared" si="4"/>
        <v>100</v>
      </c>
      <c r="R57" s="2">
        <f t="shared" si="5"/>
        <v>4.6545730000000001</v>
      </c>
      <c r="S57" s="2">
        <f t="shared" si="6"/>
        <v>-74.077443000000002</v>
      </c>
      <c r="U57">
        <v>56</v>
      </c>
      <c r="V57">
        <v>7194864883</v>
      </c>
      <c r="W57">
        <v>100</v>
      </c>
      <c r="X57">
        <v>0</v>
      </c>
      <c r="Y57">
        <v>0</v>
      </c>
      <c r="Z57">
        <v>100</v>
      </c>
      <c r="AA57" s="2">
        <v>4.6545730000000001</v>
      </c>
      <c r="AB57" s="2">
        <v>-74.077443000000002</v>
      </c>
    </row>
    <row r="58" spans="1:28" x14ac:dyDescent="0.25">
      <c r="A58">
        <v>7194865141</v>
      </c>
      <c r="B58">
        <v>6</v>
      </c>
      <c r="C58" t="s">
        <v>15</v>
      </c>
      <c r="D58">
        <v>4.6545899999999998</v>
      </c>
      <c r="E58">
        <v>-74.077545000000001</v>
      </c>
      <c r="F58" s="1">
        <f t="shared" si="3"/>
        <v>7</v>
      </c>
      <c r="G58">
        <v>7194865141</v>
      </c>
      <c r="H58">
        <v>4.6545899999999998</v>
      </c>
      <c r="I58">
        <v>7194865141</v>
      </c>
      <c r="J58">
        <v>-74.077545000000001</v>
      </c>
      <c r="L58">
        <v>57</v>
      </c>
      <c r="M58">
        <v>7194865141</v>
      </c>
      <c r="N58">
        <f t="shared" si="0"/>
        <v>6</v>
      </c>
      <c r="O58">
        <f t="shared" si="1"/>
        <v>1</v>
      </c>
      <c r="P58">
        <f t="shared" si="2"/>
        <v>0</v>
      </c>
      <c r="Q58">
        <f t="shared" si="4"/>
        <v>7</v>
      </c>
      <c r="R58" s="2">
        <f t="shared" si="5"/>
        <v>4.6545899999999998</v>
      </c>
      <c r="S58" s="2">
        <f t="shared" si="6"/>
        <v>-74.077545000000001</v>
      </c>
      <c r="U58">
        <v>57</v>
      </c>
      <c r="V58">
        <v>7194865141</v>
      </c>
      <c r="W58">
        <v>6</v>
      </c>
      <c r="X58">
        <v>1</v>
      </c>
      <c r="Y58">
        <v>0</v>
      </c>
      <c r="Z58">
        <v>7</v>
      </c>
      <c r="AA58" s="2">
        <v>4.6545899999999998</v>
      </c>
      <c r="AB58" s="2">
        <v>-74.077545000000001</v>
      </c>
    </row>
    <row r="59" spans="1:28" x14ac:dyDescent="0.25">
      <c r="A59">
        <v>7194871051</v>
      </c>
      <c r="B59">
        <v>1</v>
      </c>
      <c r="C59" t="s">
        <v>15</v>
      </c>
      <c r="D59">
        <v>4.6562770000000002</v>
      </c>
      <c r="E59">
        <v>-74.075539000000006</v>
      </c>
      <c r="F59" s="1">
        <f t="shared" si="3"/>
        <v>5</v>
      </c>
      <c r="G59">
        <v>7194871051</v>
      </c>
      <c r="H59">
        <v>4.6562770000000002</v>
      </c>
      <c r="I59">
        <v>7194871051</v>
      </c>
      <c r="J59">
        <v>-74.075539000000006</v>
      </c>
      <c r="L59">
        <v>58</v>
      </c>
      <c r="M59">
        <v>7194871051</v>
      </c>
      <c r="N59">
        <f t="shared" si="0"/>
        <v>1</v>
      </c>
      <c r="O59">
        <f t="shared" si="1"/>
        <v>0</v>
      </c>
      <c r="P59">
        <f t="shared" si="2"/>
        <v>4</v>
      </c>
      <c r="Q59">
        <f t="shared" si="4"/>
        <v>5</v>
      </c>
      <c r="R59" s="2">
        <f t="shared" si="5"/>
        <v>4.6562770000000002</v>
      </c>
      <c r="S59" s="2">
        <f t="shared" si="6"/>
        <v>-74.075539000000006</v>
      </c>
      <c r="U59">
        <v>58</v>
      </c>
      <c r="V59">
        <v>7194871051</v>
      </c>
      <c r="W59">
        <v>1</v>
      </c>
      <c r="X59">
        <v>0</v>
      </c>
      <c r="Y59">
        <v>4</v>
      </c>
      <c r="Z59">
        <v>5</v>
      </c>
      <c r="AA59" s="2">
        <v>4.6562770000000002</v>
      </c>
      <c r="AB59" s="2">
        <v>-74.075539000000006</v>
      </c>
    </row>
    <row r="60" spans="1:28" x14ac:dyDescent="0.25">
      <c r="A60">
        <v>7194865225</v>
      </c>
      <c r="B60">
        <v>20</v>
      </c>
      <c r="C60" t="s">
        <v>15</v>
      </c>
      <c r="D60">
        <v>4.6565300000000001</v>
      </c>
      <c r="E60">
        <v>-74.060050000000004</v>
      </c>
      <c r="F60" s="1">
        <f t="shared" si="3"/>
        <v>60</v>
      </c>
      <c r="G60">
        <v>7194865225</v>
      </c>
      <c r="H60">
        <v>4.6565300000000001</v>
      </c>
      <c r="I60">
        <v>7194865225</v>
      </c>
      <c r="J60">
        <v>-74.060050000000004</v>
      </c>
      <c r="L60">
        <v>59</v>
      </c>
      <c r="M60">
        <v>7194865225</v>
      </c>
      <c r="N60">
        <f t="shared" si="0"/>
        <v>20</v>
      </c>
      <c r="O60">
        <f t="shared" si="1"/>
        <v>40</v>
      </c>
      <c r="P60">
        <f t="shared" si="2"/>
        <v>0</v>
      </c>
      <c r="Q60">
        <f t="shared" si="4"/>
        <v>60</v>
      </c>
      <c r="R60" s="2">
        <f t="shared" si="5"/>
        <v>4.6565300000000001</v>
      </c>
      <c r="S60" s="2">
        <f t="shared" si="6"/>
        <v>-74.060050000000004</v>
      </c>
      <c r="U60">
        <v>59</v>
      </c>
      <c r="V60">
        <v>7194865225</v>
      </c>
      <c r="W60">
        <v>20</v>
      </c>
      <c r="X60">
        <v>40</v>
      </c>
      <c r="Y60">
        <v>0</v>
      </c>
      <c r="Z60">
        <v>60</v>
      </c>
      <c r="AA60" s="2">
        <v>4.6565300000000001</v>
      </c>
      <c r="AB60" s="2">
        <v>-74.060050000000004</v>
      </c>
    </row>
    <row r="61" spans="1:28" x14ac:dyDescent="0.25">
      <c r="A61">
        <v>7194850044</v>
      </c>
      <c r="B61">
        <v>65</v>
      </c>
      <c r="C61" t="s">
        <v>15</v>
      </c>
      <c r="D61">
        <v>4.6570819999999999</v>
      </c>
      <c r="E61">
        <v>-74.056055999999998</v>
      </c>
      <c r="F61" s="1">
        <f t="shared" si="3"/>
        <v>97</v>
      </c>
      <c r="G61">
        <v>7194850044</v>
      </c>
      <c r="H61">
        <v>4.6570819999999999</v>
      </c>
      <c r="I61">
        <v>7194850044</v>
      </c>
      <c r="J61">
        <v>-74.056055999999998</v>
      </c>
      <c r="L61">
        <v>60</v>
      </c>
      <c r="M61">
        <v>7194850044</v>
      </c>
      <c r="N61">
        <f t="shared" si="0"/>
        <v>65</v>
      </c>
      <c r="O61">
        <f t="shared" si="1"/>
        <v>32</v>
      </c>
      <c r="P61">
        <f t="shared" si="2"/>
        <v>0</v>
      </c>
      <c r="Q61">
        <f t="shared" si="4"/>
        <v>97</v>
      </c>
      <c r="R61" s="2">
        <f t="shared" si="5"/>
        <v>4.6570819999999999</v>
      </c>
      <c r="S61" s="2">
        <f t="shared" si="6"/>
        <v>-74.056055999999998</v>
      </c>
      <c r="U61">
        <v>60</v>
      </c>
      <c r="V61">
        <v>7194850044</v>
      </c>
      <c r="W61">
        <v>65</v>
      </c>
      <c r="X61">
        <v>32</v>
      </c>
      <c r="Y61">
        <v>0</v>
      </c>
      <c r="Z61">
        <v>97</v>
      </c>
      <c r="AA61" s="2">
        <v>4.6570819999999999</v>
      </c>
      <c r="AB61" s="2">
        <v>-74.056055999999998</v>
      </c>
    </row>
    <row r="62" spans="1:28" x14ac:dyDescent="0.25">
      <c r="A62">
        <v>7194803110</v>
      </c>
      <c r="B62">
        <v>5</v>
      </c>
      <c r="C62" t="s">
        <v>15</v>
      </c>
      <c r="D62">
        <v>4.6595630000000003</v>
      </c>
      <c r="E62">
        <v>-74.108070999999995</v>
      </c>
      <c r="F62" s="1">
        <f t="shared" si="3"/>
        <v>5</v>
      </c>
      <c r="G62">
        <v>7194803110</v>
      </c>
      <c r="H62">
        <v>4.6595630000000003</v>
      </c>
      <c r="I62">
        <v>7194803110</v>
      </c>
      <c r="J62">
        <v>-74.108070999999995</v>
      </c>
      <c r="L62">
        <v>61</v>
      </c>
      <c r="M62">
        <v>7194803110</v>
      </c>
      <c r="N62">
        <f t="shared" si="0"/>
        <v>5</v>
      </c>
      <c r="O62">
        <f t="shared" si="1"/>
        <v>0</v>
      </c>
      <c r="P62">
        <f t="shared" si="2"/>
        <v>0</v>
      </c>
      <c r="Q62">
        <f t="shared" si="4"/>
        <v>5</v>
      </c>
      <c r="R62" s="2">
        <f t="shared" si="5"/>
        <v>4.6595630000000003</v>
      </c>
      <c r="S62" s="2">
        <f t="shared" si="6"/>
        <v>-74.108070999999995</v>
      </c>
      <c r="U62">
        <v>61</v>
      </c>
      <c r="V62">
        <v>7194803110</v>
      </c>
      <c r="W62">
        <v>5</v>
      </c>
      <c r="X62">
        <v>0</v>
      </c>
      <c r="Y62">
        <v>0</v>
      </c>
      <c r="Z62">
        <v>5</v>
      </c>
      <c r="AA62" s="2">
        <v>4.6595630000000003</v>
      </c>
      <c r="AB62" s="2">
        <v>-74.108070999999995</v>
      </c>
    </row>
    <row r="63" spans="1:28" x14ac:dyDescent="0.25">
      <c r="A63">
        <v>7194845906</v>
      </c>
      <c r="B63">
        <v>8</v>
      </c>
      <c r="C63" t="s">
        <v>15</v>
      </c>
      <c r="D63">
        <v>4.6599630000000003</v>
      </c>
      <c r="E63">
        <v>-74.071090999999996</v>
      </c>
      <c r="F63" s="1">
        <f t="shared" si="3"/>
        <v>8</v>
      </c>
      <c r="G63">
        <v>7194845906</v>
      </c>
      <c r="H63">
        <v>4.6599630000000003</v>
      </c>
      <c r="I63">
        <v>7194845906</v>
      </c>
      <c r="J63">
        <v>-74.071090999999996</v>
      </c>
      <c r="L63">
        <v>62</v>
      </c>
      <c r="M63">
        <v>7194845906</v>
      </c>
      <c r="N63">
        <f t="shared" si="0"/>
        <v>8</v>
      </c>
      <c r="O63">
        <f t="shared" si="1"/>
        <v>0</v>
      </c>
      <c r="P63">
        <f t="shared" si="2"/>
        <v>0</v>
      </c>
      <c r="Q63">
        <f t="shared" si="4"/>
        <v>8</v>
      </c>
      <c r="R63" s="2">
        <f t="shared" si="5"/>
        <v>4.6599630000000003</v>
      </c>
      <c r="S63" s="2">
        <f t="shared" si="6"/>
        <v>-74.071090999999996</v>
      </c>
      <c r="U63">
        <v>62</v>
      </c>
      <c r="V63">
        <v>7194845906</v>
      </c>
      <c r="W63">
        <v>8</v>
      </c>
      <c r="X63">
        <v>0</v>
      </c>
      <c r="Y63">
        <v>0</v>
      </c>
      <c r="Z63">
        <v>8</v>
      </c>
      <c r="AA63" s="2">
        <v>4.6599630000000003</v>
      </c>
      <c r="AB63" s="2">
        <v>-74.071090999999996</v>
      </c>
    </row>
    <row r="64" spans="1:28" x14ac:dyDescent="0.25">
      <c r="A64">
        <v>7194861584</v>
      </c>
      <c r="B64">
        <v>6</v>
      </c>
      <c r="C64" t="s">
        <v>15</v>
      </c>
      <c r="D64">
        <v>4.6617040000000003</v>
      </c>
      <c r="E64">
        <v>-74.132422000000005</v>
      </c>
      <c r="F64" s="1">
        <f t="shared" si="3"/>
        <v>44</v>
      </c>
      <c r="G64">
        <v>7194861584</v>
      </c>
      <c r="H64">
        <v>4.6617040000000003</v>
      </c>
      <c r="I64">
        <v>7194861584</v>
      </c>
      <c r="J64">
        <v>-74.132422000000005</v>
      </c>
      <c r="L64">
        <v>63</v>
      </c>
      <c r="M64">
        <v>7194861584</v>
      </c>
      <c r="N64">
        <f t="shared" si="0"/>
        <v>6</v>
      </c>
      <c r="O64">
        <f t="shared" si="1"/>
        <v>38</v>
      </c>
      <c r="P64">
        <f t="shared" si="2"/>
        <v>0</v>
      </c>
      <c r="Q64">
        <f t="shared" si="4"/>
        <v>44</v>
      </c>
      <c r="R64" s="2">
        <f t="shared" si="5"/>
        <v>4.6617040000000003</v>
      </c>
      <c r="S64" s="2">
        <f t="shared" si="6"/>
        <v>-74.132422000000005</v>
      </c>
      <c r="U64">
        <v>63</v>
      </c>
      <c r="V64">
        <v>7194861584</v>
      </c>
      <c r="W64">
        <v>6</v>
      </c>
      <c r="X64">
        <v>38</v>
      </c>
      <c r="Y64">
        <v>0</v>
      </c>
      <c r="Z64">
        <v>44</v>
      </c>
      <c r="AA64" s="2">
        <v>4.6617040000000003</v>
      </c>
      <c r="AB64" s="2">
        <v>-74.132422000000005</v>
      </c>
    </row>
    <row r="65" spans="1:28" x14ac:dyDescent="0.25">
      <c r="A65">
        <v>7194865436</v>
      </c>
      <c r="B65">
        <v>40</v>
      </c>
      <c r="C65" t="s">
        <v>15</v>
      </c>
      <c r="D65">
        <v>4.6617899999999999</v>
      </c>
      <c r="E65">
        <v>-74.109494999999995</v>
      </c>
      <c r="F65" s="1">
        <f t="shared" si="3"/>
        <v>50</v>
      </c>
      <c r="G65">
        <v>7194865436</v>
      </c>
      <c r="H65">
        <v>4.6617899999999999</v>
      </c>
      <c r="I65">
        <v>7194865436</v>
      </c>
      <c r="J65">
        <v>-74.109494999999995</v>
      </c>
      <c r="L65">
        <v>64</v>
      </c>
      <c r="M65">
        <v>7194865436</v>
      </c>
      <c r="N65">
        <f t="shared" si="0"/>
        <v>40</v>
      </c>
      <c r="O65">
        <f t="shared" si="1"/>
        <v>10</v>
      </c>
      <c r="P65">
        <f t="shared" si="2"/>
        <v>0</v>
      </c>
      <c r="Q65">
        <f t="shared" si="4"/>
        <v>50</v>
      </c>
      <c r="R65" s="2">
        <f t="shared" si="5"/>
        <v>4.6617899999999999</v>
      </c>
      <c r="S65" s="2">
        <f t="shared" si="6"/>
        <v>-74.109494999999995</v>
      </c>
      <c r="U65">
        <v>64</v>
      </c>
      <c r="V65">
        <v>7194865436</v>
      </c>
      <c r="W65">
        <v>40</v>
      </c>
      <c r="X65">
        <v>10</v>
      </c>
      <c r="Y65">
        <v>0</v>
      </c>
      <c r="Z65">
        <v>50</v>
      </c>
      <c r="AA65" s="2">
        <v>4.6617899999999999</v>
      </c>
      <c r="AB65" s="2">
        <v>-74.109494999999995</v>
      </c>
    </row>
    <row r="66" spans="1:28" x14ac:dyDescent="0.25">
      <c r="A66">
        <v>7194872125</v>
      </c>
      <c r="B66">
        <v>4</v>
      </c>
      <c r="C66" t="s">
        <v>15</v>
      </c>
      <c r="D66">
        <v>4.6627450000000001</v>
      </c>
      <c r="E66">
        <v>-74.056309999999996</v>
      </c>
      <c r="F66" s="1">
        <f t="shared" si="3"/>
        <v>24</v>
      </c>
      <c r="G66">
        <v>7194872125</v>
      </c>
      <c r="H66">
        <v>4.6627450000000001</v>
      </c>
      <c r="I66">
        <v>7194872125</v>
      </c>
      <c r="J66">
        <v>-74.056309999999996</v>
      </c>
      <c r="L66">
        <v>65</v>
      </c>
      <c r="M66">
        <v>7194872125</v>
      </c>
      <c r="N66">
        <f t="shared" ref="N66:N129" si="7">SUMIFS($B$2:$B$403,$A$2:$A$403,M66,$C$2:$C$403,$N$1)</f>
        <v>4</v>
      </c>
      <c r="O66">
        <f t="shared" ref="O66:O129" si="8">SUMIFS($B$2:$B$403,$A$2:$A$403,M66,$C$2:$C$403,$O$1)</f>
        <v>20</v>
      </c>
      <c r="P66">
        <f t="shared" ref="P66:P129" si="9">SUMIFS($B$2:$B$403,$A$2:$A$403,M66,$C$2:$C$403,$P$1)</f>
        <v>0</v>
      </c>
      <c r="Q66">
        <f t="shared" si="4"/>
        <v>24</v>
      </c>
      <c r="R66" s="2">
        <f t="shared" si="5"/>
        <v>4.6627450000000001</v>
      </c>
      <c r="S66" s="2">
        <f t="shared" si="6"/>
        <v>-74.056309999999996</v>
      </c>
      <c r="U66">
        <v>65</v>
      </c>
      <c r="V66">
        <v>7194872125</v>
      </c>
      <c r="W66">
        <v>4</v>
      </c>
      <c r="X66">
        <v>20</v>
      </c>
      <c r="Y66">
        <v>0</v>
      </c>
      <c r="Z66">
        <v>24</v>
      </c>
      <c r="AA66" s="2">
        <v>4.6627450000000001</v>
      </c>
      <c r="AB66" s="2">
        <v>-74.056309999999996</v>
      </c>
    </row>
    <row r="67" spans="1:28" x14ac:dyDescent="0.25">
      <c r="A67">
        <v>7194866155</v>
      </c>
      <c r="B67">
        <v>24</v>
      </c>
      <c r="C67" t="s">
        <v>15</v>
      </c>
      <c r="D67">
        <v>4.662871</v>
      </c>
      <c r="E67">
        <v>-74.052481999999998</v>
      </c>
      <c r="F67" s="1">
        <f t="shared" ref="F67:F130" si="10">SUMIFS($B$2:$B$403, $A$2:$A$403, $A67)</f>
        <v>60</v>
      </c>
      <c r="G67">
        <v>7194866155</v>
      </c>
      <c r="H67">
        <v>4.662871</v>
      </c>
      <c r="I67">
        <v>7194866155</v>
      </c>
      <c r="J67">
        <v>-74.052481999999998</v>
      </c>
      <c r="L67">
        <v>66</v>
      </c>
      <c r="M67">
        <v>7194866155</v>
      </c>
      <c r="N67">
        <f t="shared" si="7"/>
        <v>24</v>
      </c>
      <c r="O67">
        <f t="shared" si="8"/>
        <v>27</v>
      </c>
      <c r="P67">
        <f t="shared" si="9"/>
        <v>9</v>
      </c>
      <c r="Q67">
        <f t="shared" ref="Q67:Q130" si="11">SUM(N67:P67)</f>
        <v>60</v>
      </c>
      <c r="R67" s="2">
        <f t="shared" si="5"/>
        <v>4.662871</v>
      </c>
      <c r="S67" s="2">
        <f t="shared" si="6"/>
        <v>-74.052481999999998</v>
      </c>
      <c r="U67">
        <v>66</v>
      </c>
      <c r="V67">
        <v>7194866155</v>
      </c>
      <c r="W67">
        <v>24</v>
      </c>
      <c r="X67">
        <v>27</v>
      </c>
      <c r="Y67">
        <v>9</v>
      </c>
      <c r="Z67">
        <v>60</v>
      </c>
      <c r="AA67" s="2">
        <v>4.662871</v>
      </c>
      <c r="AB67" s="2">
        <v>-74.052481999999998</v>
      </c>
    </row>
    <row r="68" spans="1:28" x14ac:dyDescent="0.25">
      <c r="A68">
        <v>7194850809</v>
      </c>
      <c r="B68">
        <v>10</v>
      </c>
      <c r="C68" t="s">
        <v>15</v>
      </c>
      <c r="D68">
        <v>4.6634919999999997</v>
      </c>
      <c r="E68">
        <v>-74.132259000000005</v>
      </c>
      <c r="F68" s="1">
        <f t="shared" si="10"/>
        <v>10</v>
      </c>
      <c r="G68">
        <v>7194850809</v>
      </c>
      <c r="H68">
        <v>4.6634919999999997</v>
      </c>
      <c r="I68">
        <v>7194850809</v>
      </c>
      <c r="J68">
        <v>-74.132259000000005</v>
      </c>
      <c r="L68">
        <v>67</v>
      </c>
      <c r="M68">
        <v>7194850809</v>
      </c>
      <c r="N68">
        <f t="shared" si="7"/>
        <v>10</v>
      </c>
      <c r="O68">
        <f t="shared" si="8"/>
        <v>0</v>
      </c>
      <c r="P68">
        <f t="shared" si="9"/>
        <v>0</v>
      </c>
      <c r="Q68">
        <f t="shared" si="11"/>
        <v>10</v>
      </c>
      <c r="R68" s="2">
        <f t="shared" ref="R68:R131" si="12">VLOOKUP(M68,$G$2:$H$403,2,FALSE)</f>
        <v>4.6634919999999997</v>
      </c>
      <c r="S68" s="2">
        <f t="shared" ref="S68:S131" si="13">VLOOKUP(M68,$I$2:$J$403,2,FALSE)</f>
        <v>-74.132259000000005</v>
      </c>
      <c r="U68">
        <v>67</v>
      </c>
      <c r="V68">
        <v>7194850809</v>
      </c>
      <c r="W68">
        <v>10</v>
      </c>
      <c r="X68">
        <v>0</v>
      </c>
      <c r="Y68">
        <v>0</v>
      </c>
      <c r="Z68">
        <v>10</v>
      </c>
      <c r="AA68" s="2">
        <v>4.6634919999999997</v>
      </c>
      <c r="AB68" s="2">
        <v>-74.132259000000005</v>
      </c>
    </row>
    <row r="69" spans="1:28" x14ac:dyDescent="0.25">
      <c r="A69">
        <v>7194858213</v>
      </c>
      <c r="B69">
        <v>24</v>
      </c>
      <c r="C69" t="s">
        <v>15</v>
      </c>
      <c r="D69">
        <v>4.6637050000000002</v>
      </c>
      <c r="E69">
        <v>-74.049415999999994</v>
      </c>
      <c r="F69" s="1">
        <f t="shared" si="10"/>
        <v>24</v>
      </c>
      <c r="G69">
        <v>7194858213</v>
      </c>
      <c r="H69">
        <v>4.6637050000000002</v>
      </c>
      <c r="I69">
        <v>7194858213</v>
      </c>
      <c r="J69">
        <v>-74.049415999999994</v>
      </c>
      <c r="L69">
        <v>68</v>
      </c>
      <c r="M69">
        <v>7194858213</v>
      </c>
      <c r="N69">
        <f t="shared" si="7"/>
        <v>24</v>
      </c>
      <c r="O69">
        <f t="shared" si="8"/>
        <v>0</v>
      </c>
      <c r="P69">
        <f t="shared" si="9"/>
        <v>0</v>
      </c>
      <c r="Q69">
        <f t="shared" si="11"/>
        <v>24</v>
      </c>
      <c r="R69" s="2">
        <f t="shared" si="12"/>
        <v>4.6637050000000002</v>
      </c>
      <c r="S69" s="2">
        <f t="shared" si="13"/>
        <v>-74.049415999999994</v>
      </c>
      <c r="U69">
        <v>68</v>
      </c>
      <c r="V69">
        <v>7194858213</v>
      </c>
      <c r="W69">
        <v>24</v>
      </c>
      <c r="X69">
        <v>0</v>
      </c>
      <c r="Y69">
        <v>0</v>
      </c>
      <c r="Z69">
        <v>24</v>
      </c>
      <c r="AA69" s="2">
        <v>4.6637050000000002</v>
      </c>
      <c r="AB69" s="2">
        <v>-74.049415999999994</v>
      </c>
    </row>
    <row r="70" spans="1:28" x14ac:dyDescent="0.25">
      <c r="A70">
        <v>7194816466</v>
      </c>
      <c r="B70">
        <v>37</v>
      </c>
      <c r="C70" t="s">
        <v>15</v>
      </c>
      <c r="D70">
        <v>4.6637339999999998</v>
      </c>
      <c r="E70">
        <v>-74.079887999999997</v>
      </c>
      <c r="F70" s="1">
        <f t="shared" si="10"/>
        <v>57</v>
      </c>
      <c r="G70">
        <v>7194816466</v>
      </c>
      <c r="H70">
        <v>4.6637339999999998</v>
      </c>
      <c r="I70">
        <v>7194816466</v>
      </c>
      <c r="J70">
        <v>-74.079887999999997</v>
      </c>
      <c r="L70">
        <v>69</v>
      </c>
      <c r="M70">
        <v>7194816466</v>
      </c>
      <c r="N70">
        <f t="shared" si="7"/>
        <v>37</v>
      </c>
      <c r="O70">
        <f t="shared" si="8"/>
        <v>20</v>
      </c>
      <c r="P70">
        <f t="shared" si="9"/>
        <v>0</v>
      </c>
      <c r="Q70">
        <f t="shared" si="11"/>
        <v>57</v>
      </c>
      <c r="R70" s="2">
        <f t="shared" si="12"/>
        <v>4.6637339999999998</v>
      </c>
      <c r="S70" s="2">
        <f t="shared" si="13"/>
        <v>-74.079887999999997</v>
      </c>
      <c r="U70">
        <v>69</v>
      </c>
      <c r="V70">
        <v>7194816466</v>
      </c>
      <c r="W70">
        <v>37</v>
      </c>
      <c r="X70">
        <v>20</v>
      </c>
      <c r="Y70">
        <v>0</v>
      </c>
      <c r="Z70">
        <v>57</v>
      </c>
      <c r="AA70" s="2">
        <v>4.6637339999999998</v>
      </c>
      <c r="AB70" s="2">
        <v>-74.079887999999997</v>
      </c>
    </row>
    <row r="71" spans="1:28" x14ac:dyDescent="0.25">
      <c r="A71">
        <v>7194865583</v>
      </c>
      <c r="B71">
        <v>39</v>
      </c>
      <c r="C71" t="s">
        <v>15</v>
      </c>
      <c r="D71">
        <v>4.6646330000000003</v>
      </c>
      <c r="E71">
        <v>-74.078505000000007</v>
      </c>
      <c r="F71" s="1">
        <f t="shared" si="10"/>
        <v>285</v>
      </c>
      <c r="G71">
        <v>7194865583</v>
      </c>
      <c r="H71">
        <v>4.6646330000000003</v>
      </c>
      <c r="I71">
        <v>7194865583</v>
      </c>
      <c r="J71">
        <v>-74.078505000000007</v>
      </c>
      <c r="L71">
        <v>70</v>
      </c>
      <c r="M71">
        <v>7194865583</v>
      </c>
      <c r="N71">
        <f t="shared" si="7"/>
        <v>39</v>
      </c>
      <c r="O71">
        <f t="shared" si="8"/>
        <v>246</v>
      </c>
      <c r="P71">
        <f t="shared" si="9"/>
        <v>0</v>
      </c>
      <c r="Q71">
        <f t="shared" si="11"/>
        <v>285</v>
      </c>
      <c r="R71" s="2">
        <f t="shared" si="12"/>
        <v>4.6646330000000003</v>
      </c>
      <c r="S71" s="2">
        <f t="shared" si="13"/>
        <v>-74.078505000000007</v>
      </c>
      <c r="U71">
        <v>70</v>
      </c>
      <c r="V71">
        <v>7194865583</v>
      </c>
      <c r="W71">
        <v>39</v>
      </c>
      <c r="X71">
        <v>246</v>
      </c>
      <c r="Y71">
        <v>0</v>
      </c>
      <c r="Z71">
        <v>285</v>
      </c>
      <c r="AA71" s="2">
        <v>4.6646330000000003</v>
      </c>
      <c r="AB71" s="2">
        <v>-74.078505000000007</v>
      </c>
    </row>
    <row r="72" spans="1:28" x14ac:dyDescent="0.25">
      <c r="A72">
        <v>7194868997</v>
      </c>
      <c r="B72">
        <v>6</v>
      </c>
      <c r="C72" t="s">
        <v>15</v>
      </c>
      <c r="D72">
        <v>4.6663709999999998</v>
      </c>
      <c r="E72">
        <v>-74.052640999999994</v>
      </c>
      <c r="F72" s="1">
        <f t="shared" si="10"/>
        <v>6</v>
      </c>
      <c r="G72">
        <v>7194868997</v>
      </c>
      <c r="H72">
        <v>4.6663709999999998</v>
      </c>
      <c r="I72">
        <v>7194868997</v>
      </c>
      <c r="J72">
        <v>-74.052640999999994</v>
      </c>
      <c r="L72">
        <v>71</v>
      </c>
      <c r="M72">
        <v>7194868997</v>
      </c>
      <c r="N72">
        <f t="shared" si="7"/>
        <v>6</v>
      </c>
      <c r="O72">
        <f t="shared" si="8"/>
        <v>0</v>
      </c>
      <c r="P72">
        <f t="shared" si="9"/>
        <v>0</v>
      </c>
      <c r="Q72">
        <f t="shared" si="11"/>
        <v>6</v>
      </c>
      <c r="R72" s="2">
        <f t="shared" si="12"/>
        <v>4.6663709999999998</v>
      </c>
      <c r="S72" s="2">
        <f t="shared" si="13"/>
        <v>-74.052640999999994</v>
      </c>
      <c r="U72">
        <v>71</v>
      </c>
      <c r="V72">
        <v>7194868997</v>
      </c>
      <c r="W72">
        <v>6</v>
      </c>
      <c r="X72">
        <v>0</v>
      </c>
      <c r="Y72">
        <v>0</v>
      </c>
      <c r="Z72">
        <v>6</v>
      </c>
      <c r="AA72" s="2">
        <v>4.6663709999999998</v>
      </c>
      <c r="AB72" s="2">
        <v>-74.052640999999994</v>
      </c>
    </row>
    <row r="73" spans="1:28" x14ac:dyDescent="0.25">
      <c r="A73">
        <v>7194857405</v>
      </c>
      <c r="B73">
        <v>10</v>
      </c>
      <c r="C73" t="s">
        <v>15</v>
      </c>
      <c r="D73">
        <v>4.6663709999999998</v>
      </c>
      <c r="E73">
        <v>-74.052637000000004</v>
      </c>
      <c r="F73" s="1">
        <f t="shared" si="10"/>
        <v>10</v>
      </c>
      <c r="G73">
        <v>7194857405</v>
      </c>
      <c r="H73">
        <v>4.6663709999999998</v>
      </c>
      <c r="I73">
        <v>7194857405</v>
      </c>
      <c r="J73">
        <v>-74.052637000000004</v>
      </c>
      <c r="L73">
        <v>72</v>
      </c>
      <c r="M73">
        <v>7194857405</v>
      </c>
      <c r="N73">
        <f t="shared" si="7"/>
        <v>10</v>
      </c>
      <c r="O73">
        <f t="shared" si="8"/>
        <v>0</v>
      </c>
      <c r="P73">
        <f t="shared" si="9"/>
        <v>0</v>
      </c>
      <c r="Q73">
        <f t="shared" si="11"/>
        <v>10</v>
      </c>
      <c r="R73" s="2">
        <f t="shared" si="12"/>
        <v>4.6663709999999998</v>
      </c>
      <c r="S73" s="2">
        <f t="shared" si="13"/>
        <v>-74.052637000000004</v>
      </c>
      <c r="U73">
        <v>72</v>
      </c>
      <c r="V73">
        <v>7194857405</v>
      </c>
      <c r="W73">
        <v>10</v>
      </c>
      <c r="X73">
        <v>0</v>
      </c>
      <c r="Y73">
        <v>0</v>
      </c>
      <c r="Z73">
        <v>10</v>
      </c>
      <c r="AA73" s="2">
        <v>4.6663709999999998</v>
      </c>
      <c r="AB73" s="2">
        <v>-74.052637000000004</v>
      </c>
    </row>
    <row r="74" spans="1:28" x14ac:dyDescent="0.25">
      <c r="A74">
        <v>7194830323</v>
      </c>
      <c r="B74">
        <v>61</v>
      </c>
      <c r="C74" t="s">
        <v>15</v>
      </c>
      <c r="D74">
        <v>4.6688489999999998</v>
      </c>
      <c r="E74">
        <v>-74.056647999999996</v>
      </c>
      <c r="F74" s="1">
        <f t="shared" si="10"/>
        <v>242</v>
      </c>
      <c r="G74">
        <v>7194830323</v>
      </c>
      <c r="H74">
        <v>4.6688489999999998</v>
      </c>
      <c r="I74">
        <v>7194830323</v>
      </c>
      <c r="J74">
        <v>-74.056647999999996</v>
      </c>
      <c r="L74">
        <v>73</v>
      </c>
      <c r="M74">
        <v>7194830323</v>
      </c>
      <c r="N74">
        <f t="shared" si="7"/>
        <v>61</v>
      </c>
      <c r="O74">
        <f t="shared" si="8"/>
        <v>181</v>
      </c>
      <c r="P74">
        <f t="shared" si="9"/>
        <v>0</v>
      </c>
      <c r="Q74">
        <f t="shared" si="11"/>
        <v>242</v>
      </c>
      <c r="R74" s="2">
        <f t="shared" si="12"/>
        <v>4.6688489999999998</v>
      </c>
      <c r="S74" s="2">
        <f t="shared" si="13"/>
        <v>-74.056647999999996</v>
      </c>
      <c r="U74">
        <v>73</v>
      </c>
      <c r="V74">
        <v>7194830323</v>
      </c>
      <c r="W74">
        <v>61</v>
      </c>
      <c r="X74">
        <v>181</v>
      </c>
      <c r="Y74">
        <v>0</v>
      </c>
      <c r="Z74">
        <v>242</v>
      </c>
      <c r="AA74" s="2">
        <v>4.6688489999999998</v>
      </c>
      <c r="AB74" s="2">
        <v>-74.056647999999996</v>
      </c>
    </row>
    <row r="75" spans="1:28" x14ac:dyDescent="0.25">
      <c r="A75">
        <v>7194815798</v>
      </c>
      <c r="B75">
        <v>21</v>
      </c>
      <c r="C75" t="s">
        <v>15</v>
      </c>
      <c r="D75">
        <v>4.6692640000000001</v>
      </c>
      <c r="E75">
        <v>-74.063890000000001</v>
      </c>
      <c r="F75" s="1">
        <f t="shared" si="10"/>
        <v>21</v>
      </c>
      <c r="G75">
        <v>7194815798</v>
      </c>
      <c r="H75">
        <v>4.6692640000000001</v>
      </c>
      <c r="I75">
        <v>7194815798</v>
      </c>
      <c r="J75">
        <v>-74.063890000000001</v>
      </c>
      <c r="L75">
        <v>74</v>
      </c>
      <c r="M75">
        <v>7194815798</v>
      </c>
      <c r="N75">
        <f t="shared" si="7"/>
        <v>21</v>
      </c>
      <c r="O75">
        <f t="shared" si="8"/>
        <v>0</v>
      </c>
      <c r="P75">
        <f t="shared" si="9"/>
        <v>0</v>
      </c>
      <c r="Q75">
        <f t="shared" si="11"/>
        <v>21</v>
      </c>
      <c r="R75" s="2">
        <f t="shared" si="12"/>
        <v>4.6692640000000001</v>
      </c>
      <c r="S75" s="2">
        <f t="shared" si="13"/>
        <v>-74.063890000000001</v>
      </c>
      <c r="U75">
        <v>74</v>
      </c>
      <c r="V75">
        <v>7194815798</v>
      </c>
      <c r="W75">
        <v>21</v>
      </c>
      <c r="X75">
        <v>0</v>
      </c>
      <c r="Y75">
        <v>0</v>
      </c>
      <c r="Z75">
        <v>21</v>
      </c>
      <c r="AA75" s="2">
        <v>4.6692640000000001</v>
      </c>
      <c r="AB75" s="2">
        <v>-74.063890000000001</v>
      </c>
    </row>
    <row r="76" spans="1:28" x14ac:dyDescent="0.25">
      <c r="A76">
        <v>7194860295</v>
      </c>
      <c r="B76">
        <v>9</v>
      </c>
      <c r="C76" t="s">
        <v>15</v>
      </c>
      <c r="D76">
        <v>4.6697329999999999</v>
      </c>
      <c r="E76">
        <v>-74.056324000000004</v>
      </c>
      <c r="F76" s="1">
        <f t="shared" si="10"/>
        <v>9</v>
      </c>
      <c r="G76">
        <v>7194860295</v>
      </c>
      <c r="H76">
        <v>4.6697329999999999</v>
      </c>
      <c r="I76">
        <v>7194860295</v>
      </c>
      <c r="J76">
        <v>-74.056324000000004</v>
      </c>
      <c r="L76">
        <v>75</v>
      </c>
      <c r="M76">
        <v>7194860295</v>
      </c>
      <c r="N76">
        <f t="shared" si="7"/>
        <v>9</v>
      </c>
      <c r="O76">
        <f t="shared" si="8"/>
        <v>0</v>
      </c>
      <c r="P76">
        <f t="shared" si="9"/>
        <v>0</v>
      </c>
      <c r="Q76">
        <f t="shared" si="11"/>
        <v>9</v>
      </c>
      <c r="R76" s="2">
        <f t="shared" si="12"/>
        <v>4.6697329999999999</v>
      </c>
      <c r="S76" s="2">
        <f t="shared" si="13"/>
        <v>-74.056324000000004</v>
      </c>
      <c r="U76">
        <v>75</v>
      </c>
      <c r="V76">
        <v>7194860295</v>
      </c>
      <c r="W76">
        <v>9</v>
      </c>
      <c r="X76">
        <v>0</v>
      </c>
      <c r="Y76">
        <v>0</v>
      </c>
      <c r="Z76">
        <v>9</v>
      </c>
      <c r="AA76" s="2">
        <v>4.6697329999999999</v>
      </c>
      <c r="AB76" s="2">
        <v>-74.056324000000004</v>
      </c>
    </row>
    <row r="77" spans="1:28" x14ac:dyDescent="0.25">
      <c r="A77">
        <v>7194858466</v>
      </c>
      <c r="B77">
        <v>65</v>
      </c>
      <c r="C77" t="s">
        <v>15</v>
      </c>
      <c r="D77">
        <v>4.6697389999999999</v>
      </c>
      <c r="E77">
        <v>-74.053314999999998</v>
      </c>
      <c r="F77" s="1">
        <f t="shared" si="10"/>
        <v>76</v>
      </c>
      <c r="G77">
        <v>7194858466</v>
      </c>
      <c r="H77">
        <v>4.6697389999999999</v>
      </c>
      <c r="I77">
        <v>7194858466</v>
      </c>
      <c r="J77">
        <v>-74.053314999999998</v>
      </c>
      <c r="L77">
        <v>76</v>
      </c>
      <c r="M77">
        <v>7194858466</v>
      </c>
      <c r="N77">
        <f t="shared" si="7"/>
        <v>65</v>
      </c>
      <c r="O77">
        <f t="shared" si="8"/>
        <v>11</v>
      </c>
      <c r="P77">
        <f t="shared" si="9"/>
        <v>0</v>
      </c>
      <c r="Q77">
        <f t="shared" si="11"/>
        <v>76</v>
      </c>
      <c r="R77" s="2">
        <f t="shared" si="12"/>
        <v>4.6697389999999999</v>
      </c>
      <c r="S77" s="2">
        <f t="shared" si="13"/>
        <v>-74.053314999999998</v>
      </c>
      <c r="U77">
        <v>76</v>
      </c>
      <c r="V77">
        <v>7194858466</v>
      </c>
      <c r="W77">
        <v>65</v>
      </c>
      <c r="X77">
        <v>11</v>
      </c>
      <c r="Y77">
        <v>0</v>
      </c>
      <c r="Z77">
        <v>76</v>
      </c>
      <c r="AA77" s="2">
        <v>4.6697389999999999</v>
      </c>
      <c r="AB77" s="2">
        <v>-74.053314999999998</v>
      </c>
    </row>
    <row r="78" spans="1:28" x14ac:dyDescent="0.25">
      <c r="A78">
        <v>7194869486</v>
      </c>
      <c r="B78">
        <v>22</v>
      </c>
      <c r="C78" t="s">
        <v>15</v>
      </c>
      <c r="D78">
        <v>4.6712829999999999</v>
      </c>
      <c r="E78">
        <v>-74.081180000000003</v>
      </c>
      <c r="F78" s="1">
        <f t="shared" si="10"/>
        <v>118</v>
      </c>
      <c r="G78">
        <v>7194869486</v>
      </c>
      <c r="H78">
        <v>4.6712829999999999</v>
      </c>
      <c r="I78">
        <v>7194869486</v>
      </c>
      <c r="J78">
        <v>-74.081180000000003</v>
      </c>
      <c r="L78">
        <v>77</v>
      </c>
      <c r="M78">
        <v>7194869486</v>
      </c>
      <c r="N78">
        <f t="shared" si="7"/>
        <v>22</v>
      </c>
      <c r="O78">
        <f t="shared" si="8"/>
        <v>78</v>
      </c>
      <c r="P78">
        <f t="shared" si="9"/>
        <v>18</v>
      </c>
      <c r="Q78">
        <f t="shared" si="11"/>
        <v>118</v>
      </c>
      <c r="R78" s="2">
        <f t="shared" si="12"/>
        <v>4.6712829999999999</v>
      </c>
      <c r="S78" s="2">
        <f t="shared" si="13"/>
        <v>-74.081180000000003</v>
      </c>
      <c r="U78">
        <v>77</v>
      </c>
      <c r="V78">
        <v>7194869486</v>
      </c>
      <c r="W78">
        <v>22</v>
      </c>
      <c r="X78">
        <v>78</v>
      </c>
      <c r="Y78">
        <v>18</v>
      </c>
      <c r="Z78">
        <v>118</v>
      </c>
      <c r="AA78" s="2">
        <v>4.6712829999999999</v>
      </c>
      <c r="AB78" s="2">
        <v>-74.081180000000003</v>
      </c>
    </row>
    <row r="79" spans="1:28" x14ac:dyDescent="0.25">
      <c r="A79">
        <v>7194867430</v>
      </c>
      <c r="B79">
        <v>13</v>
      </c>
      <c r="C79" t="s">
        <v>15</v>
      </c>
      <c r="D79">
        <v>4.6730470000000004</v>
      </c>
      <c r="E79">
        <v>-74.048151000000004</v>
      </c>
      <c r="F79" s="1">
        <f t="shared" si="10"/>
        <v>18</v>
      </c>
      <c r="G79">
        <v>7194867430</v>
      </c>
      <c r="H79">
        <v>4.6730470000000004</v>
      </c>
      <c r="I79">
        <v>7194867430</v>
      </c>
      <c r="J79">
        <v>-74.048151000000004</v>
      </c>
      <c r="L79">
        <v>78</v>
      </c>
      <c r="M79">
        <v>7194867430</v>
      </c>
      <c r="N79">
        <f t="shared" si="7"/>
        <v>13</v>
      </c>
      <c r="O79">
        <f t="shared" si="8"/>
        <v>5</v>
      </c>
      <c r="P79">
        <f t="shared" si="9"/>
        <v>0</v>
      </c>
      <c r="Q79">
        <f t="shared" si="11"/>
        <v>18</v>
      </c>
      <c r="R79" s="2">
        <f t="shared" si="12"/>
        <v>4.6730470000000004</v>
      </c>
      <c r="S79" s="2">
        <f t="shared" si="13"/>
        <v>-74.048151000000004</v>
      </c>
      <c r="U79">
        <v>78</v>
      </c>
      <c r="V79">
        <v>7194867430</v>
      </c>
      <c r="W79">
        <v>13</v>
      </c>
      <c r="X79">
        <v>5</v>
      </c>
      <c r="Y79">
        <v>0</v>
      </c>
      <c r="Z79">
        <v>18</v>
      </c>
      <c r="AA79" s="2">
        <v>4.6730470000000004</v>
      </c>
      <c r="AB79" s="2">
        <v>-74.048151000000004</v>
      </c>
    </row>
    <row r="80" spans="1:28" x14ac:dyDescent="0.25">
      <c r="A80">
        <v>7194873485</v>
      </c>
      <c r="B80">
        <v>33</v>
      </c>
      <c r="C80" t="s">
        <v>15</v>
      </c>
      <c r="D80">
        <v>4.6733310000000001</v>
      </c>
      <c r="E80">
        <v>-74.053589000000002</v>
      </c>
      <c r="F80" s="1">
        <f t="shared" si="10"/>
        <v>54</v>
      </c>
      <c r="G80">
        <v>7194873485</v>
      </c>
      <c r="H80">
        <v>4.6733310000000001</v>
      </c>
      <c r="I80">
        <v>7194873485</v>
      </c>
      <c r="J80">
        <v>-74.053589000000002</v>
      </c>
      <c r="L80">
        <v>79</v>
      </c>
      <c r="M80">
        <v>7194873485</v>
      </c>
      <c r="N80">
        <f t="shared" si="7"/>
        <v>33</v>
      </c>
      <c r="O80">
        <f t="shared" si="8"/>
        <v>11</v>
      </c>
      <c r="P80">
        <f t="shared" si="9"/>
        <v>10</v>
      </c>
      <c r="Q80">
        <f t="shared" si="11"/>
        <v>54</v>
      </c>
      <c r="R80" s="2">
        <f t="shared" si="12"/>
        <v>4.6733310000000001</v>
      </c>
      <c r="S80" s="2">
        <f t="shared" si="13"/>
        <v>-74.053589000000002</v>
      </c>
      <c r="U80">
        <v>79</v>
      </c>
      <c r="V80">
        <v>7194873485</v>
      </c>
      <c r="W80">
        <v>33</v>
      </c>
      <c r="X80">
        <v>11</v>
      </c>
      <c r="Y80">
        <v>10</v>
      </c>
      <c r="Z80">
        <v>54</v>
      </c>
      <c r="AA80" s="2">
        <v>4.6733310000000001</v>
      </c>
      <c r="AB80" s="2">
        <v>-74.053589000000002</v>
      </c>
    </row>
    <row r="81" spans="1:28" x14ac:dyDescent="0.25">
      <c r="A81">
        <v>7194848649</v>
      </c>
      <c r="B81">
        <v>6</v>
      </c>
      <c r="C81" t="s">
        <v>15</v>
      </c>
      <c r="D81">
        <v>4.6743779999999999</v>
      </c>
      <c r="E81">
        <v>-74.047999000000004</v>
      </c>
      <c r="F81" s="1">
        <f t="shared" si="10"/>
        <v>51</v>
      </c>
      <c r="G81">
        <v>7194848649</v>
      </c>
      <c r="H81">
        <v>4.6743779999999999</v>
      </c>
      <c r="I81">
        <v>7194848649</v>
      </c>
      <c r="J81">
        <v>-74.047999000000004</v>
      </c>
      <c r="L81">
        <v>80</v>
      </c>
      <c r="M81">
        <v>7194848649</v>
      </c>
      <c r="N81">
        <f t="shared" si="7"/>
        <v>6</v>
      </c>
      <c r="O81">
        <f t="shared" si="8"/>
        <v>45</v>
      </c>
      <c r="P81">
        <f t="shared" si="9"/>
        <v>0</v>
      </c>
      <c r="Q81">
        <f t="shared" si="11"/>
        <v>51</v>
      </c>
      <c r="R81" s="2">
        <f t="shared" si="12"/>
        <v>4.6743779999999999</v>
      </c>
      <c r="S81" s="2">
        <f t="shared" si="13"/>
        <v>-74.047999000000004</v>
      </c>
      <c r="U81">
        <v>80</v>
      </c>
      <c r="V81">
        <v>7194848649</v>
      </c>
      <c r="W81">
        <v>6</v>
      </c>
      <c r="X81">
        <v>45</v>
      </c>
      <c r="Y81">
        <v>0</v>
      </c>
      <c r="Z81">
        <v>51</v>
      </c>
      <c r="AA81" s="2">
        <v>4.6743779999999999</v>
      </c>
      <c r="AB81" s="2">
        <v>-74.047999000000004</v>
      </c>
    </row>
    <row r="82" spans="1:28" x14ac:dyDescent="0.25">
      <c r="A82">
        <v>7194820956</v>
      </c>
      <c r="B82">
        <v>4</v>
      </c>
      <c r="C82" t="s">
        <v>15</v>
      </c>
      <c r="D82">
        <v>4.6757400000000002</v>
      </c>
      <c r="E82">
        <v>-74.117895000000004</v>
      </c>
      <c r="F82" s="1">
        <f t="shared" si="10"/>
        <v>8</v>
      </c>
      <c r="G82">
        <v>7194820956</v>
      </c>
      <c r="H82">
        <v>4.6757400000000002</v>
      </c>
      <c r="I82">
        <v>7194820956</v>
      </c>
      <c r="J82">
        <v>-74.117895000000004</v>
      </c>
      <c r="L82">
        <v>81</v>
      </c>
      <c r="M82">
        <v>7194820956</v>
      </c>
      <c r="N82">
        <f t="shared" si="7"/>
        <v>4</v>
      </c>
      <c r="O82">
        <f t="shared" si="8"/>
        <v>4</v>
      </c>
      <c r="P82">
        <f t="shared" si="9"/>
        <v>0</v>
      </c>
      <c r="Q82">
        <f t="shared" si="11"/>
        <v>8</v>
      </c>
      <c r="R82" s="2">
        <f t="shared" si="12"/>
        <v>4.6757400000000002</v>
      </c>
      <c r="S82" s="2">
        <f t="shared" si="13"/>
        <v>-74.117895000000004</v>
      </c>
      <c r="U82">
        <v>81</v>
      </c>
      <c r="V82">
        <v>7194820956</v>
      </c>
      <c r="W82">
        <v>4</v>
      </c>
      <c r="X82">
        <v>4</v>
      </c>
      <c r="Y82">
        <v>0</v>
      </c>
      <c r="Z82">
        <v>8</v>
      </c>
      <c r="AA82" s="2">
        <v>4.6757400000000002</v>
      </c>
      <c r="AB82" s="2">
        <v>-74.117895000000004</v>
      </c>
    </row>
    <row r="83" spans="1:28" x14ac:dyDescent="0.25">
      <c r="A83">
        <v>7194867721</v>
      </c>
      <c r="B83">
        <v>97</v>
      </c>
      <c r="C83" t="s">
        <v>15</v>
      </c>
      <c r="D83">
        <v>4.6772159999999996</v>
      </c>
      <c r="E83">
        <v>-74.137641000000002</v>
      </c>
      <c r="F83" s="1">
        <f t="shared" si="10"/>
        <v>911</v>
      </c>
      <c r="G83">
        <v>7194867721</v>
      </c>
      <c r="H83">
        <v>4.6772159999999996</v>
      </c>
      <c r="I83">
        <v>7194867721</v>
      </c>
      <c r="J83">
        <v>-74.137641000000002</v>
      </c>
      <c r="L83">
        <v>82</v>
      </c>
      <c r="M83">
        <v>7194867721</v>
      </c>
      <c r="N83">
        <f t="shared" si="7"/>
        <v>97</v>
      </c>
      <c r="O83">
        <f t="shared" si="8"/>
        <v>791</v>
      </c>
      <c r="P83">
        <f t="shared" si="9"/>
        <v>23</v>
      </c>
      <c r="Q83">
        <f t="shared" si="11"/>
        <v>911</v>
      </c>
      <c r="R83" s="2">
        <f t="shared" si="12"/>
        <v>4.6772159999999996</v>
      </c>
      <c r="S83" s="2">
        <f t="shared" si="13"/>
        <v>-74.137641000000002</v>
      </c>
      <c r="U83">
        <v>82</v>
      </c>
      <c r="V83">
        <v>7194867721</v>
      </c>
      <c r="W83">
        <v>97</v>
      </c>
      <c r="X83">
        <v>791</v>
      </c>
      <c r="Y83">
        <v>23</v>
      </c>
      <c r="Z83">
        <v>911</v>
      </c>
      <c r="AA83" s="2">
        <v>4.6772159999999996</v>
      </c>
      <c r="AB83" s="2">
        <v>-74.137641000000002</v>
      </c>
    </row>
    <row r="84" spans="1:28" x14ac:dyDescent="0.25">
      <c r="A84">
        <v>7194837268</v>
      </c>
      <c r="B84">
        <v>35</v>
      </c>
      <c r="C84" t="s">
        <v>15</v>
      </c>
      <c r="D84">
        <v>4.678858</v>
      </c>
      <c r="E84">
        <v>-74.127341999999999</v>
      </c>
      <c r="F84" s="1">
        <f t="shared" si="10"/>
        <v>307</v>
      </c>
      <c r="G84">
        <v>7194837268</v>
      </c>
      <c r="H84">
        <v>4.678858</v>
      </c>
      <c r="I84">
        <v>7194837268</v>
      </c>
      <c r="J84">
        <v>-74.127341999999999</v>
      </c>
      <c r="L84">
        <v>83</v>
      </c>
      <c r="M84">
        <v>7194837268</v>
      </c>
      <c r="N84">
        <f t="shared" si="7"/>
        <v>35</v>
      </c>
      <c r="O84">
        <f t="shared" si="8"/>
        <v>272</v>
      </c>
      <c r="P84">
        <f t="shared" si="9"/>
        <v>0</v>
      </c>
      <c r="Q84">
        <f t="shared" si="11"/>
        <v>307</v>
      </c>
      <c r="R84" s="2">
        <f t="shared" si="12"/>
        <v>4.678858</v>
      </c>
      <c r="S84" s="2">
        <f t="shared" si="13"/>
        <v>-74.127341999999999</v>
      </c>
      <c r="U84">
        <v>83</v>
      </c>
      <c r="V84">
        <v>7194837268</v>
      </c>
      <c r="W84">
        <v>35</v>
      </c>
      <c r="X84">
        <v>272</v>
      </c>
      <c r="Y84">
        <v>0</v>
      </c>
      <c r="Z84">
        <v>307</v>
      </c>
      <c r="AA84" s="2">
        <v>4.678858</v>
      </c>
      <c r="AB84" s="2">
        <v>-74.127341999999999</v>
      </c>
    </row>
    <row r="85" spans="1:28" x14ac:dyDescent="0.25">
      <c r="A85">
        <v>7194831562</v>
      </c>
      <c r="B85">
        <v>26</v>
      </c>
      <c r="C85" t="s">
        <v>15</v>
      </c>
      <c r="D85">
        <v>4.6798380000000002</v>
      </c>
      <c r="E85">
        <v>-74.064344000000006</v>
      </c>
      <c r="F85" s="1">
        <f t="shared" si="10"/>
        <v>85</v>
      </c>
      <c r="G85">
        <v>7194831562</v>
      </c>
      <c r="H85">
        <v>4.6798380000000002</v>
      </c>
      <c r="I85">
        <v>7194831562</v>
      </c>
      <c r="J85">
        <v>-74.064344000000006</v>
      </c>
      <c r="L85">
        <v>84</v>
      </c>
      <c r="M85">
        <v>7194831562</v>
      </c>
      <c r="N85">
        <f t="shared" si="7"/>
        <v>26</v>
      </c>
      <c r="O85">
        <f t="shared" si="8"/>
        <v>59</v>
      </c>
      <c r="P85">
        <f t="shared" si="9"/>
        <v>0</v>
      </c>
      <c r="Q85">
        <f t="shared" si="11"/>
        <v>85</v>
      </c>
      <c r="R85" s="2">
        <f t="shared" si="12"/>
        <v>4.6798380000000002</v>
      </c>
      <c r="S85" s="2">
        <f t="shared" si="13"/>
        <v>-74.064344000000006</v>
      </c>
      <c r="U85">
        <v>84</v>
      </c>
      <c r="V85">
        <v>7194831562</v>
      </c>
      <c r="W85">
        <v>26</v>
      </c>
      <c r="X85">
        <v>59</v>
      </c>
      <c r="Y85">
        <v>0</v>
      </c>
      <c r="Z85">
        <v>85</v>
      </c>
      <c r="AA85" s="2">
        <v>4.6798380000000002</v>
      </c>
      <c r="AB85" s="2">
        <v>-74.064344000000006</v>
      </c>
    </row>
    <row r="86" spans="1:28" x14ac:dyDescent="0.25">
      <c r="A86">
        <v>7194790334</v>
      </c>
      <c r="B86">
        <v>80</v>
      </c>
      <c r="C86" t="s">
        <v>15</v>
      </c>
      <c r="D86">
        <v>4.6810679999999998</v>
      </c>
      <c r="E86">
        <v>-74.068145000000001</v>
      </c>
      <c r="F86" s="1">
        <f t="shared" si="10"/>
        <v>80</v>
      </c>
      <c r="G86">
        <v>7194790334</v>
      </c>
      <c r="H86">
        <v>4.6810679999999998</v>
      </c>
      <c r="I86">
        <v>7194790334</v>
      </c>
      <c r="J86">
        <v>-74.068145000000001</v>
      </c>
      <c r="L86">
        <v>85</v>
      </c>
      <c r="M86">
        <v>7194790334</v>
      </c>
      <c r="N86">
        <f t="shared" si="7"/>
        <v>80</v>
      </c>
      <c r="O86">
        <f t="shared" si="8"/>
        <v>0</v>
      </c>
      <c r="P86">
        <f t="shared" si="9"/>
        <v>0</v>
      </c>
      <c r="Q86">
        <f t="shared" si="11"/>
        <v>80</v>
      </c>
      <c r="R86" s="2">
        <f t="shared" si="12"/>
        <v>4.6810679999999998</v>
      </c>
      <c r="S86" s="2">
        <f t="shared" si="13"/>
        <v>-74.068145000000001</v>
      </c>
      <c r="U86">
        <v>85</v>
      </c>
      <c r="V86">
        <v>7194790334</v>
      </c>
      <c r="W86">
        <v>80</v>
      </c>
      <c r="X86">
        <v>0</v>
      </c>
      <c r="Y86">
        <v>0</v>
      </c>
      <c r="Z86">
        <v>80</v>
      </c>
      <c r="AA86" s="2">
        <v>4.6810679999999998</v>
      </c>
      <c r="AB86" s="2">
        <v>-74.068145000000001</v>
      </c>
    </row>
    <row r="87" spans="1:28" x14ac:dyDescent="0.25">
      <c r="A87">
        <v>7194839241</v>
      </c>
      <c r="B87">
        <v>2</v>
      </c>
      <c r="C87" t="s">
        <v>15</v>
      </c>
      <c r="D87">
        <v>4.6825570000000001</v>
      </c>
      <c r="E87">
        <v>-74.134210999999993</v>
      </c>
      <c r="F87" s="1">
        <f t="shared" si="10"/>
        <v>150</v>
      </c>
      <c r="G87">
        <v>7194839241</v>
      </c>
      <c r="H87">
        <v>4.6825570000000001</v>
      </c>
      <c r="I87">
        <v>7194839241</v>
      </c>
      <c r="J87">
        <v>-74.134210999999993</v>
      </c>
      <c r="L87">
        <v>86</v>
      </c>
      <c r="M87">
        <v>7194839241</v>
      </c>
      <c r="N87">
        <f t="shared" si="7"/>
        <v>2</v>
      </c>
      <c r="O87">
        <f t="shared" si="8"/>
        <v>148</v>
      </c>
      <c r="P87">
        <f t="shared" si="9"/>
        <v>0</v>
      </c>
      <c r="Q87">
        <f t="shared" si="11"/>
        <v>150</v>
      </c>
      <c r="R87" s="2">
        <f t="shared" si="12"/>
        <v>4.6825570000000001</v>
      </c>
      <c r="S87" s="2">
        <f t="shared" si="13"/>
        <v>-74.134210999999993</v>
      </c>
      <c r="U87">
        <v>86</v>
      </c>
      <c r="V87">
        <v>7194839241</v>
      </c>
      <c r="W87">
        <v>2</v>
      </c>
      <c r="X87">
        <v>148</v>
      </c>
      <c r="Y87">
        <v>0</v>
      </c>
      <c r="Z87">
        <v>150</v>
      </c>
      <c r="AA87" s="2">
        <v>4.6825570000000001</v>
      </c>
      <c r="AB87" s="2">
        <v>-74.134210999999993</v>
      </c>
    </row>
    <row r="88" spans="1:28" x14ac:dyDescent="0.25">
      <c r="A88">
        <v>7194864026</v>
      </c>
      <c r="B88">
        <v>8</v>
      </c>
      <c r="C88" t="s">
        <v>15</v>
      </c>
      <c r="D88">
        <v>4.683478</v>
      </c>
      <c r="E88">
        <v>-74.164619999999999</v>
      </c>
      <c r="F88" s="1">
        <f t="shared" si="10"/>
        <v>13</v>
      </c>
      <c r="G88">
        <v>7194864026</v>
      </c>
      <c r="H88">
        <v>4.683478</v>
      </c>
      <c r="I88">
        <v>7194864026</v>
      </c>
      <c r="J88">
        <v>-74.164619999999999</v>
      </c>
      <c r="L88">
        <v>87</v>
      </c>
      <c r="M88">
        <v>7194864026</v>
      </c>
      <c r="N88">
        <f t="shared" si="7"/>
        <v>8</v>
      </c>
      <c r="O88">
        <f t="shared" si="8"/>
        <v>5</v>
      </c>
      <c r="P88">
        <f t="shared" si="9"/>
        <v>0</v>
      </c>
      <c r="Q88">
        <f t="shared" si="11"/>
        <v>13</v>
      </c>
      <c r="R88" s="2">
        <f t="shared" si="12"/>
        <v>4.683478</v>
      </c>
      <c r="S88" s="2">
        <f t="shared" si="13"/>
        <v>-74.164619999999999</v>
      </c>
      <c r="U88">
        <v>87</v>
      </c>
      <c r="V88">
        <v>7194864026</v>
      </c>
      <c r="W88">
        <v>8</v>
      </c>
      <c r="X88">
        <v>5</v>
      </c>
      <c r="Y88">
        <v>0</v>
      </c>
      <c r="Z88">
        <v>13</v>
      </c>
      <c r="AA88" s="2">
        <v>4.683478</v>
      </c>
      <c r="AB88" s="2">
        <v>-74.164619999999999</v>
      </c>
    </row>
    <row r="89" spans="1:28" x14ac:dyDescent="0.25">
      <c r="A89">
        <v>7194835838</v>
      </c>
      <c r="B89">
        <v>11</v>
      </c>
      <c r="C89" t="s">
        <v>15</v>
      </c>
      <c r="D89">
        <v>4.6854279999999999</v>
      </c>
      <c r="E89">
        <v>-74.060181999999998</v>
      </c>
      <c r="F89" s="1">
        <f t="shared" si="10"/>
        <v>11</v>
      </c>
      <c r="G89">
        <v>7194835838</v>
      </c>
      <c r="H89">
        <v>4.6854279999999999</v>
      </c>
      <c r="I89">
        <v>7194835838</v>
      </c>
      <c r="J89">
        <v>-74.060181999999998</v>
      </c>
      <c r="L89">
        <v>88</v>
      </c>
      <c r="M89">
        <v>7194835838</v>
      </c>
      <c r="N89">
        <f t="shared" si="7"/>
        <v>11</v>
      </c>
      <c r="O89">
        <f t="shared" si="8"/>
        <v>0</v>
      </c>
      <c r="P89">
        <f t="shared" si="9"/>
        <v>0</v>
      </c>
      <c r="Q89">
        <f t="shared" si="11"/>
        <v>11</v>
      </c>
      <c r="R89" s="2">
        <f t="shared" si="12"/>
        <v>4.6854279999999999</v>
      </c>
      <c r="S89" s="2">
        <f t="shared" si="13"/>
        <v>-74.060181999999998</v>
      </c>
      <c r="U89">
        <v>88</v>
      </c>
      <c r="V89">
        <v>7194835838</v>
      </c>
      <c r="W89">
        <v>11</v>
      </c>
      <c r="X89">
        <v>0</v>
      </c>
      <c r="Y89">
        <v>0</v>
      </c>
      <c r="Z89">
        <v>11</v>
      </c>
      <c r="AA89" s="2">
        <v>4.6854279999999999</v>
      </c>
      <c r="AB89" s="2">
        <v>-74.060181999999998</v>
      </c>
    </row>
    <row r="90" spans="1:28" x14ac:dyDescent="0.25">
      <c r="A90">
        <v>7194865587</v>
      </c>
      <c r="B90">
        <v>26</v>
      </c>
      <c r="C90" t="s">
        <v>15</v>
      </c>
      <c r="D90">
        <v>4.6862740000000001</v>
      </c>
      <c r="E90">
        <v>-74.052616</v>
      </c>
      <c r="F90" s="1">
        <f t="shared" si="10"/>
        <v>37</v>
      </c>
      <c r="G90">
        <v>7194865587</v>
      </c>
      <c r="H90">
        <v>4.6862740000000001</v>
      </c>
      <c r="I90">
        <v>7194865587</v>
      </c>
      <c r="J90">
        <v>-74.052616</v>
      </c>
      <c r="L90">
        <v>89</v>
      </c>
      <c r="M90">
        <v>7194865587</v>
      </c>
      <c r="N90">
        <f t="shared" si="7"/>
        <v>26</v>
      </c>
      <c r="O90">
        <f t="shared" si="8"/>
        <v>11</v>
      </c>
      <c r="P90">
        <f t="shared" si="9"/>
        <v>0</v>
      </c>
      <c r="Q90">
        <f t="shared" si="11"/>
        <v>37</v>
      </c>
      <c r="R90" s="2">
        <f t="shared" si="12"/>
        <v>4.6862740000000001</v>
      </c>
      <c r="S90" s="2">
        <f t="shared" si="13"/>
        <v>-74.052616</v>
      </c>
      <c r="U90">
        <v>89</v>
      </c>
      <c r="V90">
        <v>7194865587</v>
      </c>
      <c r="W90">
        <v>26</v>
      </c>
      <c r="X90">
        <v>11</v>
      </c>
      <c r="Y90">
        <v>0</v>
      </c>
      <c r="Z90">
        <v>37</v>
      </c>
      <c r="AA90" s="2">
        <v>4.6862740000000001</v>
      </c>
      <c r="AB90" s="2">
        <v>-74.052616</v>
      </c>
    </row>
    <row r="91" spans="1:28" x14ac:dyDescent="0.25">
      <c r="A91">
        <v>7194697019</v>
      </c>
      <c r="B91">
        <v>549</v>
      </c>
      <c r="C91" t="s">
        <v>15</v>
      </c>
      <c r="D91">
        <v>4.689095</v>
      </c>
      <c r="E91">
        <v>-74.131162000000003</v>
      </c>
      <c r="F91" s="1">
        <f t="shared" si="10"/>
        <v>549</v>
      </c>
      <c r="G91">
        <v>7194697019</v>
      </c>
      <c r="H91">
        <v>4.689095</v>
      </c>
      <c r="I91">
        <v>7194697019</v>
      </c>
      <c r="J91">
        <v>-74.131162000000003</v>
      </c>
      <c r="L91">
        <v>90</v>
      </c>
      <c r="M91">
        <v>7194697019</v>
      </c>
      <c r="N91">
        <f t="shared" si="7"/>
        <v>549</v>
      </c>
      <c r="O91">
        <f t="shared" si="8"/>
        <v>0</v>
      </c>
      <c r="P91">
        <f t="shared" si="9"/>
        <v>0</v>
      </c>
      <c r="Q91">
        <f t="shared" si="11"/>
        <v>549</v>
      </c>
      <c r="R91" s="2">
        <f t="shared" si="12"/>
        <v>4.689095</v>
      </c>
      <c r="S91" s="2">
        <f t="shared" si="13"/>
        <v>-74.131162000000003</v>
      </c>
      <c r="U91">
        <v>90</v>
      </c>
      <c r="V91">
        <v>7194697019</v>
      </c>
      <c r="W91">
        <v>549</v>
      </c>
      <c r="X91">
        <v>0</v>
      </c>
      <c r="Y91">
        <v>0</v>
      </c>
      <c r="Z91">
        <v>549</v>
      </c>
      <c r="AA91" s="2">
        <v>4.689095</v>
      </c>
      <c r="AB91" s="2">
        <v>-74.131162000000003</v>
      </c>
    </row>
    <row r="92" spans="1:28" x14ac:dyDescent="0.25">
      <c r="A92">
        <v>7194865183</v>
      </c>
      <c r="B92">
        <v>19</v>
      </c>
      <c r="C92" t="s">
        <v>15</v>
      </c>
      <c r="D92">
        <v>4.6892630000000004</v>
      </c>
      <c r="E92">
        <v>-74.128377</v>
      </c>
      <c r="F92" s="1">
        <f t="shared" si="10"/>
        <v>19</v>
      </c>
      <c r="G92">
        <v>7194865183</v>
      </c>
      <c r="H92">
        <v>4.6892630000000004</v>
      </c>
      <c r="I92">
        <v>7194865183</v>
      </c>
      <c r="J92">
        <v>-74.128377</v>
      </c>
      <c r="L92">
        <v>91</v>
      </c>
      <c r="M92">
        <v>7194865183</v>
      </c>
      <c r="N92">
        <f t="shared" si="7"/>
        <v>19</v>
      </c>
      <c r="O92">
        <f t="shared" si="8"/>
        <v>0</v>
      </c>
      <c r="P92">
        <f t="shared" si="9"/>
        <v>0</v>
      </c>
      <c r="Q92">
        <f t="shared" si="11"/>
        <v>19</v>
      </c>
      <c r="R92" s="2">
        <f t="shared" si="12"/>
        <v>4.6892630000000004</v>
      </c>
      <c r="S92" s="2">
        <f t="shared" si="13"/>
        <v>-74.128377</v>
      </c>
      <c r="U92">
        <v>91</v>
      </c>
      <c r="V92">
        <v>7194865183</v>
      </c>
      <c r="W92">
        <v>19</v>
      </c>
      <c r="X92">
        <v>0</v>
      </c>
      <c r="Y92">
        <v>0</v>
      </c>
      <c r="Z92">
        <v>19</v>
      </c>
      <c r="AA92" s="2">
        <v>4.6892630000000004</v>
      </c>
      <c r="AB92" s="2">
        <v>-74.128377</v>
      </c>
    </row>
    <row r="93" spans="1:28" x14ac:dyDescent="0.25">
      <c r="A93">
        <v>7194860895</v>
      </c>
      <c r="B93">
        <v>16</v>
      </c>
      <c r="C93" t="s">
        <v>15</v>
      </c>
      <c r="D93">
        <v>4.6895699999999998</v>
      </c>
      <c r="E93">
        <v>-74.130313000000001</v>
      </c>
      <c r="F93" s="1">
        <f t="shared" si="10"/>
        <v>115</v>
      </c>
      <c r="G93">
        <v>7194860895</v>
      </c>
      <c r="H93">
        <v>4.6895699999999998</v>
      </c>
      <c r="I93">
        <v>7194860895</v>
      </c>
      <c r="J93">
        <v>-74.130313000000001</v>
      </c>
      <c r="L93">
        <v>92</v>
      </c>
      <c r="M93">
        <v>7194860895</v>
      </c>
      <c r="N93">
        <f t="shared" si="7"/>
        <v>16</v>
      </c>
      <c r="O93">
        <f t="shared" si="8"/>
        <v>99</v>
      </c>
      <c r="P93">
        <f t="shared" si="9"/>
        <v>0</v>
      </c>
      <c r="Q93">
        <f t="shared" si="11"/>
        <v>115</v>
      </c>
      <c r="R93" s="2">
        <f t="shared" si="12"/>
        <v>4.6895699999999998</v>
      </c>
      <c r="S93" s="2">
        <f t="shared" si="13"/>
        <v>-74.130313000000001</v>
      </c>
      <c r="U93">
        <v>92</v>
      </c>
      <c r="V93">
        <v>7194860895</v>
      </c>
      <c r="W93">
        <v>16</v>
      </c>
      <c r="X93">
        <v>99</v>
      </c>
      <c r="Y93">
        <v>0</v>
      </c>
      <c r="Z93">
        <v>115</v>
      </c>
      <c r="AA93" s="2">
        <v>4.6895699999999998</v>
      </c>
      <c r="AB93" s="2">
        <v>-74.130313000000001</v>
      </c>
    </row>
    <row r="94" spans="1:28" x14ac:dyDescent="0.25">
      <c r="A94">
        <v>7194846863</v>
      </c>
      <c r="B94">
        <v>15</v>
      </c>
      <c r="C94" t="s">
        <v>15</v>
      </c>
      <c r="D94">
        <v>4.6906109999999996</v>
      </c>
      <c r="E94">
        <v>-74.038202999999996</v>
      </c>
      <c r="F94" s="1">
        <f t="shared" si="10"/>
        <v>65</v>
      </c>
      <c r="G94">
        <v>7194846863</v>
      </c>
      <c r="H94">
        <v>4.6906109999999996</v>
      </c>
      <c r="I94">
        <v>7194846863</v>
      </c>
      <c r="J94">
        <v>-74.038202999999996</v>
      </c>
      <c r="L94">
        <v>93</v>
      </c>
      <c r="M94">
        <v>7194846863</v>
      </c>
      <c r="N94">
        <f t="shared" si="7"/>
        <v>15</v>
      </c>
      <c r="O94">
        <f t="shared" si="8"/>
        <v>50</v>
      </c>
      <c r="P94">
        <f t="shared" si="9"/>
        <v>0</v>
      </c>
      <c r="Q94">
        <f t="shared" si="11"/>
        <v>65</v>
      </c>
      <c r="R94" s="2">
        <f t="shared" si="12"/>
        <v>4.6906109999999996</v>
      </c>
      <c r="S94" s="2">
        <f t="shared" si="13"/>
        <v>-74.038202999999996</v>
      </c>
      <c r="U94">
        <v>93</v>
      </c>
      <c r="V94">
        <v>7194846863</v>
      </c>
      <c r="W94">
        <v>15</v>
      </c>
      <c r="X94">
        <v>50</v>
      </c>
      <c r="Y94">
        <v>0</v>
      </c>
      <c r="Z94">
        <v>65</v>
      </c>
      <c r="AA94" s="2">
        <v>4.6906109999999996</v>
      </c>
      <c r="AB94" s="2">
        <v>-74.038202999999996</v>
      </c>
    </row>
    <row r="95" spans="1:28" x14ac:dyDescent="0.25">
      <c r="A95">
        <v>7194850518</v>
      </c>
      <c r="B95">
        <v>82</v>
      </c>
      <c r="C95" t="s">
        <v>15</v>
      </c>
      <c r="D95">
        <v>4.690849</v>
      </c>
      <c r="E95">
        <v>-74.148673000000002</v>
      </c>
      <c r="F95" s="1">
        <f t="shared" si="10"/>
        <v>144</v>
      </c>
      <c r="G95">
        <v>7194850518</v>
      </c>
      <c r="H95">
        <v>4.690849</v>
      </c>
      <c r="I95">
        <v>7194850518</v>
      </c>
      <c r="J95">
        <v>-74.148673000000002</v>
      </c>
      <c r="L95">
        <v>94</v>
      </c>
      <c r="M95">
        <v>7194850518</v>
      </c>
      <c r="N95">
        <f t="shared" si="7"/>
        <v>82</v>
      </c>
      <c r="O95">
        <f t="shared" si="8"/>
        <v>62</v>
      </c>
      <c r="P95">
        <f t="shared" si="9"/>
        <v>0</v>
      </c>
      <c r="Q95">
        <f t="shared" si="11"/>
        <v>144</v>
      </c>
      <c r="R95" s="2">
        <f t="shared" si="12"/>
        <v>4.690849</v>
      </c>
      <c r="S95" s="2">
        <f t="shared" si="13"/>
        <v>-74.148673000000002</v>
      </c>
      <c r="U95">
        <v>94</v>
      </c>
      <c r="V95">
        <v>7194850518</v>
      </c>
      <c r="W95">
        <v>82</v>
      </c>
      <c r="X95">
        <v>62</v>
      </c>
      <c r="Y95">
        <v>0</v>
      </c>
      <c r="Z95">
        <v>144</v>
      </c>
      <c r="AA95" s="2">
        <v>4.690849</v>
      </c>
      <c r="AB95" s="2">
        <v>-74.148673000000002</v>
      </c>
    </row>
    <row r="96" spans="1:28" x14ac:dyDescent="0.25">
      <c r="A96">
        <v>7194865620</v>
      </c>
      <c r="B96">
        <v>15</v>
      </c>
      <c r="C96" t="s">
        <v>15</v>
      </c>
      <c r="D96">
        <v>4.6917549999999997</v>
      </c>
      <c r="E96">
        <v>-74.034870999999995</v>
      </c>
      <c r="F96" s="1">
        <f t="shared" si="10"/>
        <v>15</v>
      </c>
      <c r="G96">
        <v>7194865620</v>
      </c>
      <c r="H96">
        <v>4.6917549999999997</v>
      </c>
      <c r="I96">
        <v>7194865620</v>
      </c>
      <c r="J96">
        <v>-74.034870999999995</v>
      </c>
      <c r="L96">
        <v>95</v>
      </c>
      <c r="M96">
        <v>7194865620</v>
      </c>
      <c r="N96">
        <f t="shared" si="7"/>
        <v>15</v>
      </c>
      <c r="O96">
        <f t="shared" si="8"/>
        <v>0</v>
      </c>
      <c r="P96">
        <f t="shared" si="9"/>
        <v>0</v>
      </c>
      <c r="Q96">
        <f t="shared" si="11"/>
        <v>15</v>
      </c>
      <c r="R96" s="2">
        <f t="shared" si="12"/>
        <v>4.6917549999999997</v>
      </c>
      <c r="S96" s="2">
        <f t="shared" si="13"/>
        <v>-74.034870999999995</v>
      </c>
      <c r="U96">
        <v>95</v>
      </c>
      <c r="V96">
        <v>7194865620</v>
      </c>
      <c r="W96">
        <v>15</v>
      </c>
      <c r="X96">
        <v>0</v>
      </c>
      <c r="Y96">
        <v>0</v>
      </c>
      <c r="Z96">
        <v>15</v>
      </c>
      <c r="AA96" s="2">
        <v>4.6917549999999997</v>
      </c>
      <c r="AB96" s="2">
        <v>-74.034870999999995</v>
      </c>
    </row>
    <row r="97" spans="1:28" x14ac:dyDescent="0.25">
      <c r="A97">
        <v>7194860377</v>
      </c>
      <c r="B97">
        <v>21</v>
      </c>
      <c r="C97" t="s">
        <v>15</v>
      </c>
      <c r="D97">
        <v>4.6924999999999999</v>
      </c>
      <c r="E97">
        <v>-74.068284000000006</v>
      </c>
      <c r="F97" s="1">
        <f t="shared" si="10"/>
        <v>47</v>
      </c>
      <c r="G97">
        <v>7194860377</v>
      </c>
      <c r="H97">
        <v>4.6924999999999999</v>
      </c>
      <c r="I97">
        <v>7194860377</v>
      </c>
      <c r="J97">
        <v>-74.068284000000006</v>
      </c>
      <c r="L97">
        <v>96</v>
      </c>
      <c r="M97">
        <v>7194860377</v>
      </c>
      <c r="N97">
        <f t="shared" si="7"/>
        <v>21</v>
      </c>
      <c r="O97">
        <f t="shared" si="8"/>
        <v>12</v>
      </c>
      <c r="P97">
        <f t="shared" si="9"/>
        <v>14</v>
      </c>
      <c r="Q97">
        <f t="shared" si="11"/>
        <v>47</v>
      </c>
      <c r="R97" s="2">
        <f t="shared" si="12"/>
        <v>4.6924999999999999</v>
      </c>
      <c r="S97" s="2">
        <f t="shared" si="13"/>
        <v>-74.068284000000006</v>
      </c>
      <c r="U97">
        <v>96</v>
      </c>
      <c r="V97">
        <v>7194860377</v>
      </c>
      <c r="W97">
        <v>21</v>
      </c>
      <c r="X97">
        <v>12</v>
      </c>
      <c r="Y97">
        <v>14</v>
      </c>
      <c r="Z97">
        <v>47</v>
      </c>
      <c r="AA97" s="2">
        <v>4.6924999999999999</v>
      </c>
      <c r="AB97" s="2">
        <v>-74.068284000000006</v>
      </c>
    </row>
    <row r="98" spans="1:28" x14ac:dyDescent="0.25">
      <c r="A98">
        <v>7194865164</v>
      </c>
      <c r="B98">
        <v>4</v>
      </c>
      <c r="C98" t="s">
        <v>15</v>
      </c>
      <c r="D98">
        <v>4.692679</v>
      </c>
      <c r="E98">
        <v>-74.136281999999994</v>
      </c>
      <c r="F98" s="1">
        <f t="shared" si="10"/>
        <v>5</v>
      </c>
      <c r="G98">
        <v>7194865164</v>
      </c>
      <c r="H98">
        <v>4.692679</v>
      </c>
      <c r="I98">
        <v>7194865164</v>
      </c>
      <c r="J98">
        <v>-74.136281999999994</v>
      </c>
      <c r="L98">
        <v>97</v>
      </c>
      <c r="M98">
        <v>7194865164</v>
      </c>
      <c r="N98">
        <f t="shared" si="7"/>
        <v>4</v>
      </c>
      <c r="O98">
        <f t="shared" si="8"/>
        <v>1</v>
      </c>
      <c r="P98">
        <f t="shared" si="9"/>
        <v>0</v>
      </c>
      <c r="Q98">
        <f t="shared" si="11"/>
        <v>5</v>
      </c>
      <c r="R98" s="2">
        <f t="shared" si="12"/>
        <v>4.692679</v>
      </c>
      <c r="S98" s="2">
        <f t="shared" si="13"/>
        <v>-74.136281999999994</v>
      </c>
      <c r="U98">
        <v>97</v>
      </c>
      <c r="V98">
        <v>7194865164</v>
      </c>
      <c r="W98">
        <v>4</v>
      </c>
      <c r="X98">
        <v>1</v>
      </c>
      <c r="Y98">
        <v>0</v>
      </c>
      <c r="Z98">
        <v>5</v>
      </c>
      <c r="AA98" s="2">
        <v>4.692679</v>
      </c>
      <c r="AB98" s="2">
        <v>-74.136281999999994</v>
      </c>
    </row>
    <row r="99" spans="1:28" x14ac:dyDescent="0.25">
      <c r="A99">
        <v>7194866138</v>
      </c>
      <c r="B99">
        <v>107</v>
      </c>
      <c r="C99" t="s">
        <v>15</v>
      </c>
      <c r="D99">
        <v>4.6934019999999999</v>
      </c>
      <c r="E99">
        <v>-74.034571</v>
      </c>
      <c r="F99" s="1">
        <f t="shared" si="10"/>
        <v>137</v>
      </c>
      <c r="G99">
        <v>7194866138</v>
      </c>
      <c r="H99">
        <v>4.6934019999999999</v>
      </c>
      <c r="I99">
        <v>7194866138</v>
      </c>
      <c r="J99">
        <v>-74.034571</v>
      </c>
      <c r="L99">
        <v>98</v>
      </c>
      <c r="M99">
        <v>7194866138</v>
      </c>
      <c r="N99">
        <f t="shared" si="7"/>
        <v>107</v>
      </c>
      <c r="O99">
        <f t="shared" si="8"/>
        <v>30</v>
      </c>
      <c r="P99">
        <f t="shared" si="9"/>
        <v>0</v>
      </c>
      <c r="Q99">
        <f t="shared" si="11"/>
        <v>137</v>
      </c>
      <c r="R99" s="2">
        <f t="shared" si="12"/>
        <v>4.6934019999999999</v>
      </c>
      <c r="S99" s="2">
        <f t="shared" si="13"/>
        <v>-74.034571</v>
      </c>
      <c r="U99">
        <v>98</v>
      </c>
      <c r="V99">
        <v>7194866138</v>
      </c>
      <c r="W99">
        <v>107</v>
      </c>
      <c r="X99">
        <v>30</v>
      </c>
      <c r="Y99">
        <v>0</v>
      </c>
      <c r="Z99">
        <v>137</v>
      </c>
      <c r="AA99" s="2">
        <v>4.6934019999999999</v>
      </c>
      <c r="AB99" s="2">
        <v>-74.034571</v>
      </c>
    </row>
    <row r="100" spans="1:28" x14ac:dyDescent="0.25">
      <c r="A100">
        <v>7194865290</v>
      </c>
      <c r="B100">
        <v>63</v>
      </c>
      <c r="C100" t="s">
        <v>15</v>
      </c>
      <c r="D100">
        <v>4.6935349999999998</v>
      </c>
      <c r="E100">
        <v>-74.134482000000006</v>
      </c>
      <c r="F100" s="1">
        <f t="shared" si="10"/>
        <v>68</v>
      </c>
      <c r="G100">
        <v>7194865290</v>
      </c>
      <c r="H100">
        <v>4.6935349999999998</v>
      </c>
      <c r="I100">
        <v>7194865290</v>
      </c>
      <c r="J100">
        <v>-74.134482000000006</v>
      </c>
      <c r="L100">
        <v>99</v>
      </c>
      <c r="M100">
        <v>7194865290</v>
      </c>
      <c r="N100">
        <f t="shared" si="7"/>
        <v>63</v>
      </c>
      <c r="O100">
        <f t="shared" si="8"/>
        <v>5</v>
      </c>
      <c r="P100">
        <f t="shared" si="9"/>
        <v>0</v>
      </c>
      <c r="Q100">
        <f t="shared" si="11"/>
        <v>68</v>
      </c>
      <c r="R100" s="2">
        <f t="shared" si="12"/>
        <v>4.6935349999999998</v>
      </c>
      <c r="S100" s="2">
        <f t="shared" si="13"/>
        <v>-74.134482000000006</v>
      </c>
      <c r="U100">
        <v>99</v>
      </c>
      <c r="V100">
        <v>7194865290</v>
      </c>
      <c r="W100">
        <v>63</v>
      </c>
      <c r="X100">
        <v>5</v>
      </c>
      <c r="Y100">
        <v>0</v>
      </c>
      <c r="Z100">
        <v>68</v>
      </c>
      <c r="AA100" s="2">
        <v>4.6935349999999998</v>
      </c>
      <c r="AB100" s="2">
        <v>-74.134482000000006</v>
      </c>
    </row>
    <row r="101" spans="1:28" x14ac:dyDescent="0.25">
      <c r="A101">
        <v>7194864199</v>
      </c>
      <c r="B101">
        <v>20</v>
      </c>
      <c r="C101" t="s">
        <v>15</v>
      </c>
      <c r="D101">
        <v>4.6954330000000004</v>
      </c>
      <c r="E101">
        <v>-74.030552999999998</v>
      </c>
      <c r="F101" s="1">
        <f t="shared" si="10"/>
        <v>20</v>
      </c>
      <c r="G101">
        <v>7194864199</v>
      </c>
      <c r="H101">
        <v>4.6954330000000004</v>
      </c>
      <c r="I101">
        <v>7194864199</v>
      </c>
      <c r="J101">
        <v>-74.030552999999998</v>
      </c>
      <c r="L101">
        <v>100</v>
      </c>
      <c r="M101">
        <v>7194864199</v>
      </c>
      <c r="N101">
        <f t="shared" si="7"/>
        <v>20</v>
      </c>
      <c r="O101">
        <f t="shared" si="8"/>
        <v>0</v>
      </c>
      <c r="P101">
        <f t="shared" si="9"/>
        <v>0</v>
      </c>
      <c r="Q101">
        <f t="shared" si="11"/>
        <v>20</v>
      </c>
      <c r="R101" s="2">
        <f t="shared" si="12"/>
        <v>4.6954330000000004</v>
      </c>
      <c r="S101" s="2">
        <f t="shared" si="13"/>
        <v>-74.030552999999998</v>
      </c>
      <c r="U101">
        <v>100</v>
      </c>
      <c r="V101">
        <v>7194864199</v>
      </c>
      <c r="W101">
        <v>20</v>
      </c>
      <c r="X101">
        <v>0</v>
      </c>
      <c r="Y101">
        <v>0</v>
      </c>
      <c r="Z101">
        <v>20</v>
      </c>
      <c r="AA101" s="2">
        <v>4.6954330000000004</v>
      </c>
      <c r="AB101" s="2">
        <v>-74.030552999999998</v>
      </c>
    </row>
    <row r="102" spans="1:28" x14ac:dyDescent="0.25">
      <c r="A102">
        <v>7194867604</v>
      </c>
      <c r="B102">
        <v>10</v>
      </c>
      <c r="C102" t="s">
        <v>15</v>
      </c>
      <c r="D102">
        <v>4.6958890000000002</v>
      </c>
      <c r="E102">
        <v>-74.044300000000007</v>
      </c>
      <c r="F102" s="1">
        <f t="shared" si="10"/>
        <v>10</v>
      </c>
      <c r="G102">
        <v>7194867604</v>
      </c>
      <c r="H102">
        <v>4.6958890000000002</v>
      </c>
      <c r="I102">
        <v>7194867604</v>
      </c>
      <c r="J102">
        <v>-74.044300000000007</v>
      </c>
      <c r="L102">
        <v>101</v>
      </c>
      <c r="M102">
        <v>7194867604</v>
      </c>
      <c r="N102">
        <f t="shared" si="7"/>
        <v>10</v>
      </c>
      <c r="O102">
        <f t="shared" si="8"/>
        <v>0</v>
      </c>
      <c r="P102">
        <f t="shared" si="9"/>
        <v>0</v>
      </c>
      <c r="Q102">
        <f t="shared" si="11"/>
        <v>10</v>
      </c>
      <c r="R102" s="2">
        <f t="shared" si="12"/>
        <v>4.6958890000000002</v>
      </c>
      <c r="S102" s="2">
        <f t="shared" si="13"/>
        <v>-74.044300000000007</v>
      </c>
      <c r="U102">
        <v>101</v>
      </c>
      <c r="V102">
        <v>7194867604</v>
      </c>
      <c r="W102">
        <v>10</v>
      </c>
      <c r="X102">
        <v>0</v>
      </c>
      <c r="Y102">
        <v>0</v>
      </c>
      <c r="Z102">
        <v>10</v>
      </c>
      <c r="AA102" s="2">
        <v>4.6958890000000002</v>
      </c>
      <c r="AB102" s="2">
        <v>-74.044300000000007</v>
      </c>
    </row>
    <row r="103" spans="1:28" x14ac:dyDescent="0.25">
      <c r="A103">
        <v>7194867028</v>
      </c>
      <c r="B103">
        <v>25</v>
      </c>
      <c r="C103" t="s">
        <v>15</v>
      </c>
      <c r="D103">
        <v>4.696072</v>
      </c>
      <c r="E103">
        <v>-74.142893999999998</v>
      </c>
      <c r="F103" s="1">
        <f t="shared" si="10"/>
        <v>104</v>
      </c>
      <c r="G103">
        <v>7194867028</v>
      </c>
      <c r="H103">
        <v>4.696072</v>
      </c>
      <c r="I103">
        <v>7194867028</v>
      </c>
      <c r="J103">
        <v>-74.142893999999998</v>
      </c>
      <c r="L103">
        <v>102</v>
      </c>
      <c r="M103">
        <v>7194867028</v>
      </c>
      <c r="N103">
        <f t="shared" si="7"/>
        <v>25</v>
      </c>
      <c r="O103">
        <f t="shared" si="8"/>
        <v>79</v>
      </c>
      <c r="P103">
        <f t="shared" si="9"/>
        <v>0</v>
      </c>
      <c r="Q103">
        <f t="shared" si="11"/>
        <v>104</v>
      </c>
      <c r="R103" s="2">
        <f t="shared" si="12"/>
        <v>4.696072</v>
      </c>
      <c r="S103" s="2">
        <f t="shared" si="13"/>
        <v>-74.142893999999998</v>
      </c>
      <c r="U103">
        <v>102</v>
      </c>
      <c r="V103">
        <v>7194867028</v>
      </c>
      <c r="W103">
        <v>25</v>
      </c>
      <c r="X103">
        <v>79</v>
      </c>
      <c r="Y103">
        <v>0</v>
      </c>
      <c r="Z103">
        <v>104</v>
      </c>
      <c r="AA103" s="2">
        <v>4.696072</v>
      </c>
      <c r="AB103" s="2">
        <v>-74.142893999999998</v>
      </c>
    </row>
    <row r="104" spans="1:28" x14ac:dyDescent="0.25">
      <c r="A104">
        <v>7194859808</v>
      </c>
      <c r="B104">
        <v>52</v>
      </c>
      <c r="C104" t="s">
        <v>15</v>
      </c>
      <c r="D104">
        <v>4.696326</v>
      </c>
      <c r="E104">
        <v>-74.143739999999994</v>
      </c>
      <c r="F104" s="1">
        <f t="shared" si="10"/>
        <v>89</v>
      </c>
      <c r="G104">
        <v>7194859808</v>
      </c>
      <c r="H104">
        <v>4.696326</v>
      </c>
      <c r="I104">
        <v>7194859808</v>
      </c>
      <c r="J104">
        <v>-74.143739999999994</v>
      </c>
      <c r="L104">
        <v>103</v>
      </c>
      <c r="M104">
        <v>7194859808</v>
      </c>
      <c r="N104">
        <f t="shared" si="7"/>
        <v>52</v>
      </c>
      <c r="O104">
        <f t="shared" si="8"/>
        <v>28</v>
      </c>
      <c r="P104">
        <f t="shared" si="9"/>
        <v>9</v>
      </c>
      <c r="Q104">
        <f t="shared" si="11"/>
        <v>89</v>
      </c>
      <c r="R104" s="2">
        <f t="shared" si="12"/>
        <v>4.696326</v>
      </c>
      <c r="S104" s="2">
        <f t="shared" si="13"/>
        <v>-74.143739999999994</v>
      </c>
      <c r="U104">
        <v>103</v>
      </c>
      <c r="V104">
        <v>7194859808</v>
      </c>
      <c r="W104">
        <v>52</v>
      </c>
      <c r="X104">
        <v>28</v>
      </c>
      <c r="Y104">
        <v>9</v>
      </c>
      <c r="Z104">
        <v>89</v>
      </c>
      <c r="AA104" s="2">
        <v>4.696326</v>
      </c>
      <c r="AB104" s="2">
        <v>-74.143739999999994</v>
      </c>
    </row>
    <row r="105" spans="1:28" x14ac:dyDescent="0.25">
      <c r="A105">
        <v>7194850971</v>
      </c>
      <c r="B105">
        <v>9</v>
      </c>
      <c r="C105" t="s">
        <v>15</v>
      </c>
      <c r="D105">
        <v>4.6965219999999999</v>
      </c>
      <c r="E105">
        <v>-74.044387</v>
      </c>
      <c r="F105" s="1">
        <f t="shared" si="10"/>
        <v>9</v>
      </c>
      <c r="G105">
        <v>7194850971</v>
      </c>
      <c r="H105">
        <v>4.6965219999999999</v>
      </c>
      <c r="I105">
        <v>7194850971</v>
      </c>
      <c r="J105">
        <v>-74.044387</v>
      </c>
      <c r="L105">
        <v>104</v>
      </c>
      <c r="M105">
        <v>7194850971</v>
      </c>
      <c r="N105">
        <f t="shared" si="7"/>
        <v>9</v>
      </c>
      <c r="O105">
        <f t="shared" si="8"/>
        <v>0</v>
      </c>
      <c r="P105">
        <f t="shared" si="9"/>
        <v>0</v>
      </c>
      <c r="Q105">
        <f t="shared" si="11"/>
        <v>9</v>
      </c>
      <c r="R105" s="2">
        <f t="shared" si="12"/>
        <v>4.6965219999999999</v>
      </c>
      <c r="S105" s="2">
        <f t="shared" si="13"/>
        <v>-74.044387</v>
      </c>
      <c r="U105">
        <v>104</v>
      </c>
      <c r="V105">
        <v>7194850971</v>
      </c>
      <c r="W105">
        <v>9</v>
      </c>
      <c r="X105">
        <v>0</v>
      </c>
      <c r="Y105">
        <v>0</v>
      </c>
      <c r="Z105">
        <v>9</v>
      </c>
      <c r="AA105" s="2">
        <v>4.6965219999999999</v>
      </c>
      <c r="AB105" s="2">
        <v>-74.044387</v>
      </c>
    </row>
    <row r="106" spans="1:28" x14ac:dyDescent="0.25">
      <c r="A106">
        <v>7194859936</v>
      </c>
      <c r="B106">
        <v>20</v>
      </c>
      <c r="C106" t="s">
        <v>15</v>
      </c>
      <c r="D106">
        <v>4.6970510000000001</v>
      </c>
      <c r="E106">
        <v>-74.205757000000006</v>
      </c>
      <c r="F106" s="1">
        <f t="shared" si="10"/>
        <v>50</v>
      </c>
      <c r="G106">
        <v>7194859936</v>
      </c>
      <c r="H106">
        <v>4.6970510000000001</v>
      </c>
      <c r="I106">
        <v>7194859936</v>
      </c>
      <c r="J106">
        <v>-74.205757000000006</v>
      </c>
      <c r="L106">
        <v>105</v>
      </c>
      <c r="M106">
        <v>7194859936</v>
      </c>
      <c r="N106">
        <f t="shared" si="7"/>
        <v>20</v>
      </c>
      <c r="O106">
        <f t="shared" si="8"/>
        <v>30</v>
      </c>
      <c r="P106">
        <f t="shared" si="9"/>
        <v>0</v>
      </c>
      <c r="Q106">
        <f t="shared" si="11"/>
        <v>50</v>
      </c>
      <c r="R106" s="2">
        <f t="shared" si="12"/>
        <v>4.6970510000000001</v>
      </c>
      <c r="S106" s="2">
        <f t="shared" si="13"/>
        <v>-74.205757000000006</v>
      </c>
      <c r="U106">
        <v>105</v>
      </c>
      <c r="V106">
        <v>7194859936</v>
      </c>
      <c r="W106">
        <v>20</v>
      </c>
      <c r="X106">
        <v>30</v>
      </c>
      <c r="Y106">
        <v>0</v>
      </c>
      <c r="Z106">
        <v>50</v>
      </c>
      <c r="AA106" s="2">
        <v>4.6970510000000001</v>
      </c>
      <c r="AB106" s="2">
        <v>-74.205757000000006</v>
      </c>
    </row>
    <row r="107" spans="1:28" x14ac:dyDescent="0.25">
      <c r="A107">
        <v>7194864609</v>
      </c>
      <c r="B107">
        <v>13</v>
      </c>
      <c r="C107" t="s">
        <v>15</v>
      </c>
      <c r="D107">
        <v>4.6972149999999999</v>
      </c>
      <c r="E107">
        <v>-74.050325999999998</v>
      </c>
      <c r="F107" s="1">
        <f t="shared" si="10"/>
        <v>13</v>
      </c>
      <c r="G107">
        <v>7194864609</v>
      </c>
      <c r="H107">
        <v>4.6972149999999999</v>
      </c>
      <c r="I107">
        <v>7194864609</v>
      </c>
      <c r="J107">
        <v>-74.050325999999998</v>
      </c>
      <c r="L107">
        <v>106</v>
      </c>
      <c r="M107">
        <v>7194864609</v>
      </c>
      <c r="N107">
        <f t="shared" si="7"/>
        <v>13</v>
      </c>
      <c r="O107">
        <f t="shared" si="8"/>
        <v>0</v>
      </c>
      <c r="P107">
        <f t="shared" si="9"/>
        <v>0</v>
      </c>
      <c r="Q107">
        <f t="shared" si="11"/>
        <v>13</v>
      </c>
      <c r="R107" s="2">
        <f t="shared" si="12"/>
        <v>4.6972149999999999</v>
      </c>
      <c r="S107" s="2">
        <f t="shared" si="13"/>
        <v>-74.050325999999998</v>
      </c>
      <c r="U107">
        <v>106</v>
      </c>
      <c r="V107">
        <v>7194864609</v>
      </c>
      <c r="W107">
        <v>13</v>
      </c>
      <c r="X107">
        <v>0</v>
      </c>
      <c r="Y107">
        <v>0</v>
      </c>
      <c r="Z107">
        <v>13</v>
      </c>
      <c r="AA107" s="2">
        <v>4.6972149999999999</v>
      </c>
      <c r="AB107" s="2">
        <v>-74.050325999999998</v>
      </c>
    </row>
    <row r="108" spans="1:28" x14ac:dyDescent="0.25">
      <c r="A108">
        <v>7194867044</v>
      </c>
      <c r="B108">
        <v>1</v>
      </c>
      <c r="C108" t="s">
        <v>15</v>
      </c>
      <c r="D108">
        <v>4.6975939999999996</v>
      </c>
      <c r="E108">
        <v>-74.139038999999997</v>
      </c>
      <c r="F108" s="1">
        <f t="shared" si="10"/>
        <v>199</v>
      </c>
      <c r="G108">
        <v>7194867044</v>
      </c>
      <c r="H108">
        <v>4.6975939999999996</v>
      </c>
      <c r="I108">
        <v>7194867044</v>
      </c>
      <c r="J108">
        <v>-74.139038999999997</v>
      </c>
      <c r="L108">
        <v>107</v>
      </c>
      <c r="M108">
        <v>7194867044</v>
      </c>
      <c r="N108">
        <f t="shared" si="7"/>
        <v>1</v>
      </c>
      <c r="O108">
        <f t="shared" si="8"/>
        <v>198</v>
      </c>
      <c r="P108">
        <f t="shared" si="9"/>
        <v>0</v>
      </c>
      <c r="Q108">
        <f t="shared" si="11"/>
        <v>199</v>
      </c>
      <c r="R108" s="2">
        <f t="shared" si="12"/>
        <v>4.6975939999999996</v>
      </c>
      <c r="S108" s="2">
        <f t="shared" si="13"/>
        <v>-74.139038999999997</v>
      </c>
      <c r="U108">
        <v>107</v>
      </c>
      <c r="V108">
        <v>7194867044</v>
      </c>
      <c r="W108">
        <v>1</v>
      </c>
      <c r="X108">
        <v>198</v>
      </c>
      <c r="Y108">
        <v>0</v>
      </c>
      <c r="Z108">
        <v>199</v>
      </c>
      <c r="AA108" s="2">
        <v>4.6975939999999996</v>
      </c>
      <c r="AB108" s="2">
        <v>-74.139038999999997</v>
      </c>
    </row>
    <row r="109" spans="1:28" x14ac:dyDescent="0.25">
      <c r="A109">
        <v>7194870209</v>
      </c>
      <c r="B109">
        <v>110</v>
      </c>
      <c r="C109" t="s">
        <v>15</v>
      </c>
      <c r="D109">
        <v>4.6978030000000004</v>
      </c>
      <c r="E109">
        <v>-74.038591999999994</v>
      </c>
      <c r="F109" s="1">
        <f t="shared" si="10"/>
        <v>134</v>
      </c>
      <c r="G109">
        <v>7194870209</v>
      </c>
      <c r="H109">
        <v>4.6978030000000004</v>
      </c>
      <c r="I109">
        <v>7194870209</v>
      </c>
      <c r="J109">
        <v>-74.038591999999994</v>
      </c>
      <c r="L109">
        <v>108</v>
      </c>
      <c r="M109">
        <v>7194870209</v>
      </c>
      <c r="N109">
        <f t="shared" si="7"/>
        <v>110</v>
      </c>
      <c r="O109">
        <f t="shared" si="8"/>
        <v>24</v>
      </c>
      <c r="P109">
        <f t="shared" si="9"/>
        <v>0</v>
      </c>
      <c r="Q109">
        <f t="shared" si="11"/>
        <v>134</v>
      </c>
      <c r="R109" s="2">
        <f t="shared" si="12"/>
        <v>4.6978030000000004</v>
      </c>
      <c r="S109" s="2">
        <f t="shared" si="13"/>
        <v>-74.038591999999994</v>
      </c>
      <c r="U109">
        <v>108</v>
      </c>
      <c r="V109">
        <v>7194870209</v>
      </c>
      <c r="W109">
        <v>110</v>
      </c>
      <c r="X109">
        <v>24</v>
      </c>
      <c r="Y109">
        <v>0</v>
      </c>
      <c r="Z109">
        <v>134</v>
      </c>
      <c r="AA109" s="2">
        <v>4.6978030000000004</v>
      </c>
      <c r="AB109" s="2">
        <v>-74.038591999999994</v>
      </c>
    </row>
    <row r="110" spans="1:28" x14ac:dyDescent="0.25">
      <c r="A110">
        <v>7194836905</v>
      </c>
      <c r="B110">
        <v>67</v>
      </c>
      <c r="C110" t="s">
        <v>15</v>
      </c>
      <c r="D110">
        <v>4.6984589999999997</v>
      </c>
      <c r="E110">
        <v>-74.072867000000002</v>
      </c>
      <c r="F110" s="1">
        <f t="shared" si="10"/>
        <v>500</v>
      </c>
      <c r="G110">
        <v>7194836905</v>
      </c>
      <c r="H110">
        <v>4.6984589999999997</v>
      </c>
      <c r="I110">
        <v>7194836905</v>
      </c>
      <c r="J110">
        <v>-74.072867000000002</v>
      </c>
      <c r="L110">
        <v>109</v>
      </c>
      <c r="M110">
        <v>7194836905</v>
      </c>
      <c r="N110">
        <f t="shared" si="7"/>
        <v>67</v>
      </c>
      <c r="O110">
        <f t="shared" si="8"/>
        <v>433</v>
      </c>
      <c r="P110">
        <f t="shared" si="9"/>
        <v>0</v>
      </c>
      <c r="Q110">
        <f t="shared" si="11"/>
        <v>500</v>
      </c>
      <c r="R110" s="2">
        <f t="shared" si="12"/>
        <v>4.6984589999999997</v>
      </c>
      <c r="S110" s="2">
        <f t="shared" si="13"/>
        <v>-74.072867000000002</v>
      </c>
      <c r="U110">
        <v>109</v>
      </c>
      <c r="V110">
        <v>7194836905</v>
      </c>
      <c r="W110">
        <v>67</v>
      </c>
      <c r="X110">
        <v>433</v>
      </c>
      <c r="Y110">
        <v>0</v>
      </c>
      <c r="Z110">
        <v>500</v>
      </c>
      <c r="AA110" s="2">
        <v>4.6984589999999997</v>
      </c>
      <c r="AB110" s="2">
        <v>-74.072867000000002</v>
      </c>
    </row>
    <row r="111" spans="1:28" x14ac:dyDescent="0.25">
      <c r="A111">
        <v>7194803454</v>
      </c>
      <c r="B111">
        <v>17</v>
      </c>
      <c r="C111" t="s">
        <v>15</v>
      </c>
      <c r="D111">
        <v>4.6989919999999996</v>
      </c>
      <c r="E111">
        <v>-74.051118000000002</v>
      </c>
      <c r="F111" s="1">
        <f t="shared" si="10"/>
        <v>17</v>
      </c>
      <c r="G111">
        <v>7194803454</v>
      </c>
      <c r="H111">
        <v>4.6989919999999996</v>
      </c>
      <c r="I111">
        <v>7194803454</v>
      </c>
      <c r="J111">
        <v>-74.051118000000002</v>
      </c>
      <c r="L111">
        <v>110</v>
      </c>
      <c r="M111">
        <v>7194803454</v>
      </c>
      <c r="N111">
        <f t="shared" si="7"/>
        <v>17</v>
      </c>
      <c r="O111">
        <f t="shared" si="8"/>
        <v>0</v>
      </c>
      <c r="P111">
        <f t="shared" si="9"/>
        <v>0</v>
      </c>
      <c r="Q111">
        <f t="shared" si="11"/>
        <v>17</v>
      </c>
      <c r="R111" s="2">
        <f t="shared" si="12"/>
        <v>4.6989919999999996</v>
      </c>
      <c r="S111" s="2">
        <f t="shared" si="13"/>
        <v>-74.051118000000002</v>
      </c>
      <c r="U111">
        <v>110</v>
      </c>
      <c r="V111">
        <v>7194803454</v>
      </c>
      <c r="W111">
        <v>17</v>
      </c>
      <c r="X111">
        <v>0</v>
      </c>
      <c r="Y111">
        <v>0</v>
      </c>
      <c r="Z111">
        <v>17</v>
      </c>
      <c r="AA111" s="2">
        <v>4.6989919999999996</v>
      </c>
      <c r="AB111" s="2">
        <v>-74.051118000000002</v>
      </c>
    </row>
    <row r="112" spans="1:28" x14ac:dyDescent="0.25">
      <c r="A112">
        <v>7194698430</v>
      </c>
      <c r="B112">
        <v>25</v>
      </c>
      <c r="C112" t="s">
        <v>15</v>
      </c>
      <c r="D112">
        <v>4.6990439999999998</v>
      </c>
      <c r="E112">
        <v>-74.140962999999999</v>
      </c>
      <c r="F112" s="1">
        <f t="shared" si="10"/>
        <v>25</v>
      </c>
      <c r="G112">
        <v>7194698430</v>
      </c>
      <c r="H112">
        <v>4.6990439999999998</v>
      </c>
      <c r="I112">
        <v>7194698430</v>
      </c>
      <c r="J112">
        <v>-74.140962999999999</v>
      </c>
      <c r="L112">
        <v>111</v>
      </c>
      <c r="M112">
        <v>7194698430</v>
      </c>
      <c r="N112">
        <f t="shared" si="7"/>
        <v>25</v>
      </c>
      <c r="O112">
        <f t="shared" si="8"/>
        <v>0</v>
      </c>
      <c r="P112">
        <f t="shared" si="9"/>
        <v>0</v>
      </c>
      <c r="Q112">
        <f t="shared" si="11"/>
        <v>25</v>
      </c>
      <c r="R112" s="2">
        <f t="shared" si="12"/>
        <v>4.6990439999999998</v>
      </c>
      <c r="S112" s="2">
        <f t="shared" si="13"/>
        <v>-74.140962999999999</v>
      </c>
      <c r="U112">
        <v>111</v>
      </c>
      <c r="V112">
        <v>7194698430</v>
      </c>
      <c r="W112">
        <v>25</v>
      </c>
      <c r="X112">
        <v>0</v>
      </c>
      <c r="Y112">
        <v>0</v>
      </c>
      <c r="Z112">
        <v>25</v>
      </c>
      <c r="AA112" s="2">
        <v>4.6990439999999998</v>
      </c>
      <c r="AB112" s="2">
        <v>-74.140962999999999</v>
      </c>
    </row>
    <row r="113" spans="1:28" x14ac:dyDescent="0.25">
      <c r="A113">
        <v>7194865133</v>
      </c>
      <c r="B113">
        <v>184</v>
      </c>
      <c r="C113" t="s">
        <v>15</v>
      </c>
      <c r="D113">
        <v>4.7021290000000002</v>
      </c>
      <c r="E113">
        <v>-74.082421999999994</v>
      </c>
      <c r="F113" s="1">
        <f t="shared" si="10"/>
        <v>251</v>
      </c>
      <c r="G113">
        <v>7194865133</v>
      </c>
      <c r="H113">
        <v>4.7021290000000002</v>
      </c>
      <c r="I113">
        <v>7194865133</v>
      </c>
      <c r="J113">
        <v>-74.082421999999994</v>
      </c>
      <c r="L113">
        <v>112</v>
      </c>
      <c r="M113">
        <v>7194865133</v>
      </c>
      <c r="N113">
        <f t="shared" si="7"/>
        <v>184</v>
      </c>
      <c r="O113">
        <f t="shared" si="8"/>
        <v>67</v>
      </c>
      <c r="P113">
        <f t="shared" si="9"/>
        <v>0</v>
      </c>
      <c r="Q113">
        <f t="shared" si="11"/>
        <v>251</v>
      </c>
      <c r="R113" s="2">
        <f t="shared" si="12"/>
        <v>4.7021290000000002</v>
      </c>
      <c r="S113" s="2">
        <f t="shared" si="13"/>
        <v>-74.082421999999994</v>
      </c>
      <c r="U113">
        <v>112</v>
      </c>
      <c r="V113">
        <v>7194865133</v>
      </c>
      <c r="W113">
        <v>184</v>
      </c>
      <c r="X113">
        <v>67</v>
      </c>
      <c r="Y113">
        <v>0</v>
      </c>
      <c r="Z113">
        <v>251</v>
      </c>
      <c r="AA113" s="2">
        <v>4.7021290000000002</v>
      </c>
      <c r="AB113" s="2">
        <v>-74.082421999999994</v>
      </c>
    </row>
    <row r="114" spans="1:28" x14ac:dyDescent="0.25">
      <c r="A114">
        <v>7194865483</v>
      </c>
      <c r="B114">
        <v>11</v>
      </c>
      <c r="C114" t="s">
        <v>15</v>
      </c>
      <c r="D114">
        <v>4.7021319999999998</v>
      </c>
      <c r="E114">
        <v>-74.041151999999997</v>
      </c>
      <c r="F114" s="1">
        <f t="shared" si="10"/>
        <v>21</v>
      </c>
      <c r="G114">
        <v>7194865483</v>
      </c>
      <c r="H114">
        <v>4.7021319999999998</v>
      </c>
      <c r="I114">
        <v>7194865483</v>
      </c>
      <c r="J114">
        <v>-74.041151999999997</v>
      </c>
      <c r="L114">
        <v>113</v>
      </c>
      <c r="M114">
        <v>7194865483</v>
      </c>
      <c r="N114">
        <f t="shared" si="7"/>
        <v>11</v>
      </c>
      <c r="O114">
        <f t="shared" si="8"/>
        <v>10</v>
      </c>
      <c r="P114">
        <f t="shared" si="9"/>
        <v>0</v>
      </c>
      <c r="Q114">
        <f t="shared" si="11"/>
        <v>21</v>
      </c>
      <c r="R114" s="2">
        <f t="shared" si="12"/>
        <v>4.7021319999999998</v>
      </c>
      <c r="S114" s="2">
        <f t="shared" si="13"/>
        <v>-74.041151999999997</v>
      </c>
      <c r="U114">
        <v>113</v>
      </c>
      <c r="V114">
        <v>7194865483</v>
      </c>
      <c r="W114">
        <v>11</v>
      </c>
      <c r="X114">
        <v>10</v>
      </c>
      <c r="Y114">
        <v>0</v>
      </c>
      <c r="Z114">
        <v>21</v>
      </c>
      <c r="AA114" s="2">
        <v>4.7021319999999998</v>
      </c>
      <c r="AB114" s="2">
        <v>-74.041151999999997</v>
      </c>
    </row>
    <row r="115" spans="1:28" x14ac:dyDescent="0.25">
      <c r="A115">
        <v>7194863841</v>
      </c>
      <c r="B115">
        <v>42</v>
      </c>
      <c r="C115" t="s">
        <v>15</v>
      </c>
      <c r="D115">
        <v>4.7022050000000002</v>
      </c>
      <c r="E115">
        <v>-74.042705999999995</v>
      </c>
      <c r="F115" s="1">
        <f t="shared" si="10"/>
        <v>78</v>
      </c>
      <c r="G115">
        <v>7194863841</v>
      </c>
      <c r="H115">
        <v>4.7022050000000002</v>
      </c>
      <c r="I115">
        <v>7194863841</v>
      </c>
      <c r="J115">
        <v>-74.042705999999995</v>
      </c>
      <c r="L115">
        <v>114</v>
      </c>
      <c r="M115">
        <v>7194863841</v>
      </c>
      <c r="N115">
        <f t="shared" si="7"/>
        <v>42</v>
      </c>
      <c r="O115">
        <f t="shared" si="8"/>
        <v>36</v>
      </c>
      <c r="P115">
        <f t="shared" si="9"/>
        <v>0</v>
      </c>
      <c r="Q115">
        <f t="shared" si="11"/>
        <v>78</v>
      </c>
      <c r="R115" s="2">
        <f t="shared" si="12"/>
        <v>4.7022050000000002</v>
      </c>
      <c r="S115" s="2">
        <f t="shared" si="13"/>
        <v>-74.042705999999995</v>
      </c>
      <c r="U115">
        <v>114</v>
      </c>
      <c r="V115">
        <v>7194863841</v>
      </c>
      <c r="W115">
        <v>42</v>
      </c>
      <c r="X115">
        <v>36</v>
      </c>
      <c r="Y115">
        <v>0</v>
      </c>
      <c r="Z115">
        <v>78</v>
      </c>
      <c r="AA115" s="2">
        <v>4.7022050000000002</v>
      </c>
      <c r="AB115" s="2">
        <v>-74.042705999999995</v>
      </c>
    </row>
    <row r="116" spans="1:28" x14ac:dyDescent="0.25">
      <c r="A116">
        <v>7194866782</v>
      </c>
      <c r="B116">
        <v>5</v>
      </c>
      <c r="C116" t="s">
        <v>15</v>
      </c>
      <c r="D116">
        <v>4.7022940000000002</v>
      </c>
      <c r="E116">
        <v>-74.041989000000001</v>
      </c>
      <c r="F116" s="1">
        <f t="shared" si="10"/>
        <v>9</v>
      </c>
      <c r="G116">
        <v>7194866782</v>
      </c>
      <c r="H116">
        <v>4.7022940000000002</v>
      </c>
      <c r="I116">
        <v>7194866782</v>
      </c>
      <c r="J116">
        <v>-74.041989000000001</v>
      </c>
      <c r="L116">
        <v>115</v>
      </c>
      <c r="M116">
        <v>7194866782</v>
      </c>
      <c r="N116">
        <f t="shared" si="7"/>
        <v>5</v>
      </c>
      <c r="O116">
        <f t="shared" si="8"/>
        <v>4</v>
      </c>
      <c r="P116">
        <f t="shared" si="9"/>
        <v>0</v>
      </c>
      <c r="Q116">
        <f t="shared" si="11"/>
        <v>9</v>
      </c>
      <c r="R116" s="2">
        <f t="shared" si="12"/>
        <v>4.7022940000000002</v>
      </c>
      <c r="S116" s="2">
        <f t="shared" si="13"/>
        <v>-74.041989000000001</v>
      </c>
      <c r="U116">
        <v>115</v>
      </c>
      <c r="V116">
        <v>7194866782</v>
      </c>
      <c r="W116">
        <v>5</v>
      </c>
      <c r="X116">
        <v>4</v>
      </c>
      <c r="Y116">
        <v>0</v>
      </c>
      <c r="Z116">
        <v>9</v>
      </c>
      <c r="AA116" s="2">
        <v>4.7022940000000002</v>
      </c>
      <c r="AB116" s="2">
        <v>-74.041989000000001</v>
      </c>
    </row>
    <row r="117" spans="1:28" x14ac:dyDescent="0.25">
      <c r="A117">
        <v>7194865525</v>
      </c>
      <c r="B117">
        <v>11</v>
      </c>
      <c r="C117" t="s">
        <v>15</v>
      </c>
      <c r="D117">
        <v>4.7025269999999999</v>
      </c>
      <c r="E117">
        <v>-74.039420000000007</v>
      </c>
      <c r="F117" s="1">
        <f t="shared" si="10"/>
        <v>16</v>
      </c>
      <c r="G117">
        <v>7194865525</v>
      </c>
      <c r="H117">
        <v>4.7025269999999999</v>
      </c>
      <c r="I117">
        <v>7194865525</v>
      </c>
      <c r="J117">
        <v>-74.039420000000007</v>
      </c>
      <c r="L117">
        <v>116</v>
      </c>
      <c r="M117">
        <v>7194865525</v>
      </c>
      <c r="N117">
        <f t="shared" si="7"/>
        <v>11</v>
      </c>
      <c r="O117">
        <f t="shared" si="8"/>
        <v>5</v>
      </c>
      <c r="P117">
        <f t="shared" si="9"/>
        <v>0</v>
      </c>
      <c r="Q117">
        <f t="shared" si="11"/>
        <v>16</v>
      </c>
      <c r="R117" s="2">
        <f t="shared" si="12"/>
        <v>4.7025269999999999</v>
      </c>
      <c r="S117" s="2">
        <f t="shared" si="13"/>
        <v>-74.039420000000007</v>
      </c>
      <c r="U117">
        <v>116</v>
      </c>
      <c r="V117">
        <v>7194865525</v>
      </c>
      <c r="W117">
        <v>11</v>
      </c>
      <c r="X117">
        <v>5</v>
      </c>
      <c r="Y117">
        <v>0</v>
      </c>
      <c r="Z117">
        <v>16</v>
      </c>
      <c r="AA117" s="2">
        <v>4.7025269999999999</v>
      </c>
      <c r="AB117" s="2">
        <v>-74.039420000000007</v>
      </c>
    </row>
    <row r="118" spans="1:28" x14ac:dyDescent="0.25">
      <c r="A118">
        <v>7194865703</v>
      </c>
      <c r="B118">
        <v>6</v>
      </c>
      <c r="C118" t="s">
        <v>15</v>
      </c>
      <c r="D118">
        <v>4.7045950000000003</v>
      </c>
      <c r="E118">
        <v>-74.053781000000001</v>
      </c>
      <c r="F118" s="1">
        <f t="shared" si="10"/>
        <v>6</v>
      </c>
      <c r="G118">
        <v>7194865703</v>
      </c>
      <c r="H118">
        <v>4.7045950000000003</v>
      </c>
      <c r="I118">
        <v>7194865703</v>
      </c>
      <c r="J118">
        <v>-74.053781000000001</v>
      </c>
      <c r="L118">
        <v>117</v>
      </c>
      <c r="M118">
        <v>7194865703</v>
      </c>
      <c r="N118">
        <f t="shared" si="7"/>
        <v>6</v>
      </c>
      <c r="O118">
        <f t="shared" si="8"/>
        <v>0</v>
      </c>
      <c r="P118">
        <f t="shared" si="9"/>
        <v>0</v>
      </c>
      <c r="Q118">
        <f t="shared" si="11"/>
        <v>6</v>
      </c>
      <c r="R118" s="2">
        <f t="shared" si="12"/>
        <v>4.7045950000000003</v>
      </c>
      <c r="S118" s="2">
        <f t="shared" si="13"/>
        <v>-74.053781000000001</v>
      </c>
      <c r="U118">
        <v>117</v>
      </c>
      <c r="V118">
        <v>7194865703</v>
      </c>
      <c r="W118">
        <v>6</v>
      </c>
      <c r="X118">
        <v>0</v>
      </c>
      <c r="Y118">
        <v>0</v>
      </c>
      <c r="Z118">
        <v>6</v>
      </c>
      <c r="AA118" s="2">
        <v>4.7045950000000003</v>
      </c>
      <c r="AB118" s="2">
        <v>-74.053781000000001</v>
      </c>
    </row>
    <row r="119" spans="1:28" x14ac:dyDescent="0.25">
      <c r="A119">
        <v>7194865675</v>
      </c>
      <c r="B119">
        <v>9</v>
      </c>
      <c r="C119" t="s">
        <v>15</v>
      </c>
      <c r="D119">
        <v>4.7050929999999997</v>
      </c>
      <c r="E119">
        <v>-74.052785999999998</v>
      </c>
      <c r="F119" s="1">
        <f t="shared" si="10"/>
        <v>9</v>
      </c>
      <c r="G119">
        <v>7194865675</v>
      </c>
      <c r="H119">
        <v>4.7050929999999997</v>
      </c>
      <c r="I119">
        <v>7194865675</v>
      </c>
      <c r="J119">
        <v>-74.052785999999998</v>
      </c>
      <c r="L119">
        <v>118</v>
      </c>
      <c r="M119">
        <v>7194865675</v>
      </c>
      <c r="N119">
        <f t="shared" si="7"/>
        <v>9</v>
      </c>
      <c r="O119">
        <f t="shared" si="8"/>
        <v>0</v>
      </c>
      <c r="P119">
        <f t="shared" si="9"/>
        <v>0</v>
      </c>
      <c r="Q119">
        <f t="shared" si="11"/>
        <v>9</v>
      </c>
      <c r="R119" s="2">
        <f t="shared" si="12"/>
        <v>4.7050929999999997</v>
      </c>
      <c r="S119" s="2">
        <f t="shared" si="13"/>
        <v>-74.052785999999998</v>
      </c>
      <c r="U119">
        <v>118</v>
      </c>
      <c r="V119">
        <v>7194865675</v>
      </c>
      <c r="W119">
        <v>9</v>
      </c>
      <c r="X119">
        <v>0</v>
      </c>
      <c r="Y119">
        <v>0</v>
      </c>
      <c r="Z119">
        <v>9</v>
      </c>
      <c r="AA119" s="2">
        <v>4.7050929999999997</v>
      </c>
      <c r="AB119" s="2">
        <v>-74.052785999999998</v>
      </c>
    </row>
    <row r="120" spans="1:28" x14ac:dyDescent="0.25">
      <c r="A120">
        <v>7194838083</v>
      </c>
      <c r="B120">
        <v>17</v>
      </c>
      <c r="C120" t="s">
        <v>15</v>
      </c>
      <c r="D120">
        <v>4.7063329999999999</v>
      </c>
      <c r="E120">
        <v>-74.050922999999997</v>
      </c>
      <c r="F120" s="1">
        <f t="shared" si="10"/>
        <v>139</v>
      </c>
      <c r="G120">
        <v>7194838083</v>
      </c>
      <c r="H120">
        <v>4.7063329999999999</v>
      </c>
      <c r="I120">
        <v>7194838083</v>
      </c>
      <c r="J120">
        <v>-74.050922999999997</v>
      </c>
      <c r="L120">
        <v>119</v>
      </c>
      <c r="M120">
        <v>7194838083</v>
      </c>
      <c r="N120">
        <f t="shared" si="7"/>
        <v>17</v>
      </c>
      <c r="O120">
        <f t="shared" si="8"/>
        <v>120</v>
      </c>
      <c r="P120">
        <f t="shared" si="9"/>
        <v>2</v>
      </c>
      <c r="Q120">
        <f t="shared" si="11"/>
        <v>139</v>
      </c>
      <c r="R120" s="2">
        <f t="shared" si="12"/>
        <v>4.7063329999999999</v>
      </c>
      <c r="S120" s="2">
        <f t="shared" si="13"/>
        <v>-74.050922999999997</v>
      </c>
      <c r="U120">
        <v>119</v>
      </c>
      <c r="V120">
        <v>7194838083</v>
      </c>
      <c r="W120">
        <v>17</v>
      </c>
      <c r="X120">
        <v>120</v>
      </c>
      <c r="Y120">
        <v>2</v>
      </c>
      <c r="Z120">
        <v>139</v>
      </c>
      <c r="AA120" s="2">
        <v>4.7063329999999999</v>
      </c>
      <c r="AB120" s="2">
        <v>-74.050922999999997</v>
      </c>
    </row>
    <row r="121" spans="1:28" x14ac:dyDescent="0.25">
      <c r="A121">
        <v>7194838368</v>
      </c>
      <c r="B121">
        <v>55</v>
      </c>
      <c r="C121" t="s">
        <v>15</v>
      </c>
      <c r="D121">
        <v>4.7064570000000003</v>
      </c>
      <c r="E121">
        <v>-74.051321999999999</v>
      </c>
      <c r="F121" s="1">
        <f t="shared" si="10"/>
        <v>246</v>
      </c>
      <c r="G121">
        <v>7194838368</v>
      </c>
      <c r="H121">
        <v>4.7064570000000003</v>
      </c>
      <c r="I121">
        <v>7194838368</v>
      </c>
      <c r="J121">
        <v>-74.051321999999999</v>
      </c>
      <c r="L121">
        <v>120</v>
      </c>
      <c r="M121">
        <v>7194838368</v>
      </c>
      <c r="N121">
        <f t="shared" si="7"/>
        <v>55</v>
      </c>
      <c r="O121">
        <f t="shared" si="8"/>
        <v>191</v>
      </c>
      <c r="P121">
        <f t="shared" si="9"/>
        <v>0</v>
      </c>
      <c r="Q121">
        <f t="shared" si="11"/>
        <v>246</v>
      </c>
      <c r="R121" s="2">
        <f t="shared" si="12"/>
        <v>4.7064570000000003</v>
      </c>
      <c r="S121" s="2">
        <f t="shared" si="13"/>
        <v>-74.051321999999999</v>
      </c>
      <c r="U121">
        <v>120</v>
      </c>
      <c r="V121">
        <v>7194838368</v>
      </c>
      <c r="W121">
        <v>55</v>
      </c>
      <c r="X121">
        <v>191</v>
      </c>
      <c r="Y121">
        <v>0</v>
      </c>
      <c r="Z121">
        <v>246</v>
      </c>
      <c r="AA121" s="2">
        <v>4.7064570000000003</v>
      </c>
      <c r="AB121" s="2">
        <v>-74.051321999999999</v>
      </c>
    </row>
    <row r="122" spans="1:28" x14ac:dyDescent="0.25">
      <c r="A122">
        <v>7194863857</v>
      </c>
      <c r="B122">
        <v>14</v>
      </c>
      <c r="C122" t="s">
        <v>15</v>
      </c>
      <c r="D122">
        <v>4.7073320000000001</v>
      </c>
      <c r="E122">
        <v>-74.051469999999995</v>
      </c>
      <c r="F122" s="1">
        <f t="shared" si="10"/>
        <v>14</v>
      </c>
      <c r="G122">
        <v>7194863857</v>
      </c>
      <c r="H122">
        <v>4.7073320000000001</v>
      </c>
      <c r="I122">
        <v>7194863857</v>
      </c>
      <c r="J122">
        <v>-74.051469999999995</v>
      </c>
      <c r="L122">
        <v>121</v>
      </c>
      <c r="M122">
        <v>7194863857</v>
      </c>
      <c r="N122">
        <f t="shared" si="7"/>
        <v>14</v>
      </c>
      <c r="O122">
        <f t="shared" si="8"/>
        <v>0</v>
      </c>
      <c r="P122">
        <f t="shared" si="9"/>
        <v>0</v>
      </c>
      <c r="Q122">
        <f t="shared" si="11"/>
        <v>14</v>
      </c>
      <c r="R122" s="2">
        <f t="shared" si="12"/>
        <v>4.7073320000000001</v>
      </c>
      <c r="S122" s="2">
        <f t="shared" si="13"/>
        <v>-74.051469999999995</v>
      </c>
      <c r="U122">
        <v>121</v>
      </c>
      <c r="V122">
        <v>7194863857</v>
      </c>
      <c r="W122">
        <v>14</v>
      </c>
      <c r="X122">
        <v>0</v>
      </c>
      <c r="Y122">
        <v>0</v>
      </c>
      <c r="Z122">
        <v>14</v>
      </c>
      <c r="AA122" s="2">
        <v>4.7073320000000001</v>
      </c>
      <c r="AB122" s="2">
        <v>-74.051469999999995</v>
      </c>
    </row>
    <row r="123" spans="1:28" x14ac:dyDescent="0.25">
      <c r="A123">
        <v>7194858223</v>
      </c>
      <c r="B123">
        <v>50</v>
      </c>
      <c r="C123" t="s">
        <v>15</v>
      </c>
      <c r="D123">
        <v>4.7086629999999996</v>
      </c>
      <c r="E123">
        <v>-74.041647999999995</v>
      </c>
      <c r="F123" s="1">
        <f t="shared" si="10"/>
        <v>50</v>
      </c>
      <c r="G123">
        <v>7194858223</v>
      </c>
      <c r="H123">
        <v>4.7086629999999996</v>
      </c>
      <c r="I123">
        <v>7194858223</v>
      </c>
      <c r="J123">
        <v>-74.041647999999995</v>
      </c>
      <c r="L123">
        <v>122</v>
      </c>
      <c r="M123">
        <v>7194858223</v>
      </c>
      <c r="N123">
        <f t="shared" si="7"/>
        <v>50</v>
      </c>
      <c r="O123">
        <f t="shared" si="8"/>
        <v>0</v>
      </c>
      <c r="P123">
        <f t="shared" si="9"/>
        <v>0</v>
      </c>
      <c r="Q123">
        <f t="shared" si="11"/>
        <v>50</v>
      </c>
      <c r="R123" s="2">
        <f t="shared" si="12"/>
        <v>4.7086629999999996</v>
      </c>
      <c r="S123" s="2">
        <f t="shared" si="13"/>
        <v>-74.041647999999995</v>
      </c>
      <c r="U123">
        <v>122</v>
      </c>
      <c r="V123">
        <v>7194858223</v>
      </c>
      <c r="W123">
        <v>50</v>
      </c>
      <c r="X123">
        <v>0</v>
      </c>
      <c r="Y123">
        <v>0</v>
      </c>
      <c r="Z123">
        <v>50</v>
      </c>
      <c r="AA123" s="2">
        <v>4.7086629999999996</v>
      </c>
      <c r="AB123" s="2">
        <v>-74.041647999999995</v>
      </c>
    </row>
    <row r="124" spans="1:28" x14ac:dyDescent="0.25">
      <c r="A124">
        <v>7194867614</v>
      </c>
      <c r="B124">
        <v>29</v>
      </c>
      <c r="C124" t="s">
        <v>15</v>
      </c>
      <c r="D124">
        <v>4.7113240000000003</v>
      </c>
      <c r="E124">
        <v>-74.032477</v>
      </c>
      <c r="F124" s="1">
        <f t="shared" si="10"/>
        <v>42</v>
      </c>
      <c r="G124">
        <v>7194867614</v>
      </c>
      <c r="H124">
        <v>4.7113240000000003</v>
      </c>
      <c r="I124">
        <v>7194867614</v>
      </c>
      <c r="J124">
        <v>-74.032477</v>
      </c>
      <c r="L124">
        <v>123</v>
      </c>
      <c r="M124">
        <v>7194867614</v>
      </c>
      <c r="N124">
        <f t="shared" si="7"/>
        <v>29</v>
      </c>
      <c r="O124">
        <f t="shared" si="8"/>
        <v>0</v>
      </c>
      <c r="P124">
        <f t="shared" si="9"/>
        <v>13</v>
      </c>
      <c r="Q124">
        <f t="shared" si="11"/>
        <v>42</v>
      </c>
      <c r="R124" s="2">
        <f t="shared" si="12"/>
        <v>4.7113240000000003</v>
      </c>
      <c r="S124" s="2">
        <f t="shared" si="13"/>
        <v>-74.032477</v>
      </c>
      <c r="U124">
        <v>123</v>
      </c>
      <c r="V124">
        <v>7194867614</v>
      </c>
      <c r="W124">
        <v>29</v>
      </c>
      <c r="X124">
        <v>0</v>
      </c>
      <c r="Y124">
        <v>13</v>
      </c>
      <c r="Z124">
        <v>42</v>
      </c>
      <c r="AA124" s="2">
        <v>4.7113240000000003</v>
      </c>
      <c r="AB124" s="2">
        <v>-74.032477</v>
      </c>
    </row>
    <row r="125" spans="1:28" x14ac:dyDescent="0.25">
      <c r="A125">
        <v>7194866711</v>
      </c>
      <c r="B125">
        <v>5</v>
      </c>
      <c r="C125" t="s">
        <v>15</v>
      </c>
      <c r="D125">
        <v>4.7129430000000001</v>
      </c>
      <c r="E125">
        <v>-74.071382</v>
      </c>
      <c r="F125" s="1">
        <f t="shared" si="10"/>
        <v>7</v>
      </c>
      <c r="G125">
        <v>7194866711</v>
      </c>
      <c r="H125">
        <v>4.7129430000000001</v>
      </c>
      <c r="I125">
        <v>7194866711</v>
      </c>
      <c r="J125">
        <v>-74.071382</v>
      </c>
      <c r="L125">
        <v>124</v>
      </c>
      <c r="M125">
        <v>7194866711</v>
      </c>
      <c r="N125">
        <f t="shared" si="7"/>
        <v>5</v>
      </c>
      <c r="O125">
        <f t="shared" si="8"/>
        <v>2</v>
      </c>
      <c r="P125">
        <f t="shared" si="9"/>
        <v>0</v>
      </c>
      <c r="Q125">
        <f t="shared" si="11"/>
        <v>7</v>
      </c>
      <c r="R125" s="2">
        <f t="shared" si="12"/>
        <v>4.7129430000000001</v>
      </c>
      <c r="S125" s="2">
        <f t="shared" si="13"/>
        <v>-74.071382</v>
      </c>
      <c r="U125">
        <v>124</v>
      </c>
      <c r="V125">
        <v>7194866711</v>
      </c>
      <c r="W125">
        <v>5</v>
      </c>
      <c r="X125">
        <v>2</v>
      </c>
      <c r="Y125">
        <v>0</v>
      </c>
      <c r="Z125">
        <v>7</v>
      </c>
      <c r="AA125" s="2">
        <v>4.7129430000000001</v>
      </c>
      <c r="AB125" s="2">
        <v>-74.071382</v>
      </c>
    </row>
    <row r="126" spans="1:28" x14ac:dyDescent="0.25">
      <c r="A126">
        <v>7194864728</v>
      </c>
      <c r="B126">
        <v>32</v>
      </c>
      <c r="C126" t="s">
        <v>15</v>
      </c>
      <c r="D126">
        <v>4.7152190000000003</v>
      </c>
      <c r="E126">
        <v>-74.216830000000002</v>
      </c>
      <c r="F126" s="1">
        <f t="shared" si="10"/>
        <v>44</v>
      </c>
      <c r="G126">
        <v>7194864728</v>
      </c>
      <c r="H126">
        <v>4.7152190000000003</v>
      </c>
      <c r="I126">
        <v>7194864728</v>
      </c>
      <c r="J126">
        <v>-74.216830000000002</v>
      </c>
      <c r="L126">
        <v>125</v>
      </c>
      <c r="M126">
        <v>7194864728</v>
      </c>
      <c r="N126">
        <f t="shared" si="7"/>
        <v>32</v>
      </c>
      <c r="O126">
        <f t="shared" si="8"/>
        <v>0</v>
      </c>
      <c r="P126">
        <f t="shared" si="9"/>
        <v>12</v>
      </c>
      <c r="Q126">
        <f t="shared" si="11"/>
        <v>44</v>
      </c>
      <c r="R126" s="2">
        <f t="shared" si="12"/>
        <v>4.7152190000000003</v>
      </c>
      <c r="S126" s="2">
        <f t="shared" si="13"/>
        <v>-74.216830000000002</v>
      </c>
      <c r="U126">
        <v>125</v>
      </c>
      <c r="V126">
        <v>7194864728</v>
      </c>
      <c r="W126">
        <v>32</v>
      </c>
      <c r="X126">
        <v>0</v>
      </c>
      <c r="Y126">
        <v>12</v>
      </c>
      <c r="Z126">
        <v>44</v>
      </c>
      <c r="AA126" s="2">
        <v>4.7152190000000003</v>
      </c>
      <c r="AB126" s="2">
        <v>-74.216830000000002</v>
      </c>
    </row>
    <row r="127" spans="1:28" x14ac:dyDescent="0.25">
      <c r="A127">
        <v>7194831183</v>
      </c>
      <c r="B127">
        <v>26</v>
      </c>
      <c r="C127" t="s">
        <v>15</v>
      </c>
      <c r="D127">
        <v>4.7172710000000002</v>
      </c>
      <c r="E127">
        <v>-74.046529000000007</v>
      </c>
      <c r="F127" s="1">
        <f t="shared" si="10"/>
        <v>84</v>
      </c>
      <c r="G127">
        <v>7194831183</v>
      </c>
      <c r="H127">
        <v>4.7172710000000002</v>
      </c>
      <c r="I127">
        <v>7194831183</v>
      </c>
      <c r="J127">
        <v>-74.046529000000007</v>
      </c>
      <c r="L127">
        <v>126</v>
      </c>
      <c r="M127">
        <v>7194831183</v>
      </c>
      <c r="N127">
        <f t="shared" si="7"/>
        <v>26</v>
      </c>
      <c r="O127">
        <f t="shared" si="8"/>
        <v>58</v>
      </c>
      <c r="P127">
        <f t="shared" si="9"/>
        <v>0</v>
      </c>
      <c r="Q127">
        <f t="shared" si="11"/>
        <v>84</v>
      </c>
      <c r="R127" s="2">
        <f t="shared" si="12"/>
        <v>4.7172710000000002</v>
      </c>
      <c r="S127" s="2">
        <f t="shared" si="13"/>
        <v>-74.046529000000007</v>
      </c>
      <c r="U127">
        <v>126</v>
      </c>
      <c r="V127">
        <v>7194831183</v>
      </c>
      <c r="W127">
        <v>26</v>
      </c>
      <c r="X127">
        <v>58</v>
      </c>
      <c r="Y127">
        <v>0</v>
      </c>
      <c r="Z127">
        <v>84</v>
      </c>
      <c r="AA127" s="2">
        <v>4.7172710000000002</v>
      </c>
      <c r="AB127" s="2">
        <v>-74.046529000000007</v>
      </c>
    </row>
    <row r="128" spans="1:28" x14ac:dyDescent="0.25">
      <c r="A128">
        <v>7194862957</v>
      </c>
      <c r="B128">
        <v>6</v>
      </c>
      <c r="C128" t="s">
        <v>15</v>
      </c>
      <c r="D128">
        <v>4.7178300000000002</v>
      </c>
      <c r="E128">
        <v>-74.044098000000005</v>
      </c>
      <c r="F128" s="1">
        <f t="shared" si="10"/>
        <v>26</v>
      </c>
      <c r="G128">
        <v>7194862957</v>
      </c>
      <c r="H128">
        <v>4.7178300000000002</v>
      </c>
      <c r="I128">
        <v>7194862957</v>
      </c>
      <c r="J128">
        <v>-74.044098000000005</v>
      </c>
      <c r="L128">
        <v>127</v>
      </c>
      <c r="M128">
        <v>7194862957</v>
      </c>
      <c r="N128">
        <f t="shared" si="7"/>
        <v>6</v>
      </c>
      <c r="O128">
        <f t="shared" si="8"/>
        <v>6</v>
      </c>
      <c r="P128">
        <f t="shared" si="9"/>
        <v>14</v>
      </c>
      <c r="Q128">
        <f t="shared" si="11"/>
        <v>26</v>
      </c>
      <c r="R128" s="2">
        <f t="shared" si="12"/>
        <v>4.7178300000000002</v>
      </c>
      <c r="S128" s="2">
        <f t="shared" si="13"/>
        <v>-74.044098000000005</v>
      </c>
      <c r="U128">
        <v>127</v>
      </c>
      <c r="V128">
        <v>7194862957</v>
      </c>
      <c r="W128">
        <v>6</v>
      </c>
      <c r="X128">
        <v>6</v>
      </c>
      <c r="Y128">
        <v>14</v>
      </c>
      <c r="Z128">
        <v>26</v>
      </c>
      <c r="AA128" s="2">
        <v>4.7178300000000002</v>
      </c>
      <c r="AB128" s="2">
        <v>-74.044098000000005</v>
      </c>
    </row>
    <row r="129" spans="1:28" x14ac:dyDescent="0.25">
      <c r="A129">
        <v>7194864618</v>
      </c>
      <c r="B129">
        <v>8</v>
      </c>
      <c r="C129" t="s">
        <v>15</v>
      </c>
      <c r="D129">
        <v>4.7226509999999999</v>
      </c>
      <c r="E129">
        <v>-74.071174999999997</v>
      </c>
      <c r="F129" s="1">
        <f t="shared" si="10"/>
        <v>38</v>
      </c>
      <c r="G129">
        <v>7194864618</v>
      </c>
      <c r="H129">
        <v>4.7226509999999999</v>
      </c>
      <c r="I129">
        <v>7194864618</v>
      </c>
      <c r="J129">
        <v>-74.071174999999997</v>
      </c>
      <c r="L129">
        <v>128</v>
      </c>
      <c r="M129">
        <v>7194864618</v>
      </c>
      <c r="N129">
        <f t="shared" si="7"/>
        <v>8</v>
      </c>
      <c r="O129">
        <f t="shared" si="8"/>
        <v>30</v>
      </c>
      <c r="P129">
        <f t="shared" si="9"/>
        <v>0</v>
      </c>
      <c r="Q129">
        <f t="shared" si="11"/>
        <v>38</v>
      </c>
      <c r="R129" s="2">
        <f t="shared" si="12"/>
        <v>4.7226509999999999</v>
      </c>
      <c r="S129" s="2">
        <f t="shared" si="13"/>
        <v>-74.071174999999997</v>
      </c>
      <c r="U129">
        <v>128</v>
      </c>
      <c r="V129">
        <v>7194864618</v>
      </c>
      <c r="W129">
        <v>8</v>
      </c>
      <c r="X129">
        <v>30</v>
      </c>
      <c r="Y129">
        <v>0</v>
      </c>
      <c r="Z129">
        <v>38</v>
      </c>
      <c r="AA129" s="2">
        <v>4.7226509999999999</v>
      </c>
      <c r="AB129" s="2">
        <v>-74.071174999999997</v>
      </c>
    </row>
    <row r="130" spans="1:28" x14ac:dyDescent="0.25">
      <c r="A130">
        <v>7194791927</v>
      </c>
      <c r="B130">
        <v>7</v>
      </c>
      <c r="C130" t="s">
        <v>15</v>
      </c>
      <c r="D130">
        <v>4.7227079999999999</v>
      </c>
      <c r="E130">
        <v>-74.195496000000006</v>
      </c>
      <c r="F130" s="1">
        <f t="shared" si="10"/>
        <v>7</v>
      </c>
      <c r="G130">
        <v>7194791927</v>
      </c>
      <c r="H130">
        <v>4.7227079999999999</v>
      </c>
      <c r="I130">
        <v>7194791927</v>
      </c>
      <c r="J130">
        <v>-74.195496000000006</v>
      </c>
      <c r="L130">
        <v>129</v>
      </c>
      <c r="M130">
        <v>7194791927</v>
      </c>
      <c r="N130">
        <f t="shared" ref="N130:N193" si="14">SUMIFS($B$2:$B$403,$A$2:$A$403,M130,$C$2:$C$403,$N$1)</f>
        <v>7</v>
      </c>
      <c r="O130">
        <f t="shared" ref="O130:O193" si="15">SUMIFS($B$2:$B$403,$A$2:$A$403,M130,$C$2:$C$403,$O$1)</f>
        <v>0</v>
      </c>
      <c r="P130">
        <f t="shared" ref="P130:P193" si="16">SUMIFS($B$2:$B$403,$A$2:$A$403,M130,$C$2:$C$403,$P$1)</f>
        <v>0</v>
      </c>
      <c r="Q130">
        <f t="shared" si="11"/>
        <v>7</v>
      </c>
      <c r="R130" s="2">
        <f t="shared" si="12"/>
        <v>4.7227079999999999</v>
      </c>
      <c r="S130" s="2">
        <f t="shared" si="13"/>
        <v>-74.195496000000006</v>
      </c>
      <c r="U130">
        <v>129</v>
      </c>
      <c r="V130">
        <v>7194791927</v>
      </c>
      <c r="W130">
        <v>7</v>
      </c>
      <c r="X130">
        <v>0</v>
      </c>
      <c r="Y130">
        <v>0</v>
      </c>
      <c r="Z130">
        <v>7</v>
      </c>
      <c r="AA130" s="2">
        <v>4.7227079999999999</v>
      </c>
      <c r="AB130" s="2">
        <v>-74.195496000000006</v>
      </c>
    </row>
    <row r="131" spans="1:28" x14ac:dyDescent="0.25">
      <c r="A131">
        <v>7194851084</v>
      </c>
      <c r="B131">
        <v>5</v>
      </c>
      <c r="C131" t="s">
        <v>15</v>
      </c>
      <c r="D131">
        <v>4.7239329999999997</v>
      </c>
      <c r="E131">
        <v>-74.062245000000004</v>
      </c>
      <c r="F131" s="1">
        <f t="shared" ref="F131:F194" si="17">SUMIFS($B$2:$B$403, $A$2:$A$403, $A131)</f>
        <v>5</v>
      </c>
      <c r="G131">
        <v>7194851084</v>
      </c>
      <c r="H131">
        <v>4.7239329999999997</v>
      </c>
      <c r="I131">
        <v>7194851084</v>
      </c>
      <c r="J131">
        <v>-74.062245000000004</v>
      </c>
      <c r="L131">
        <v>130</v>
      </c>
      <c r="M131">
        <v>7194851084</v>
      </c>
      <c r="N131">
        <f t="shared" si="14"/>
        <v>5</v>
      </c>
      <c r="O131">
        <f t="shared" si="15"/>
        <v>0</v>
      </c>
      <c r="P131">
        <f t="shared" si="16"/>
        <v>0</v>
      </c>
      <c r="Q131">
        <f t="shared" ref="Q131:Q194" si="18">SUM(N131:P131)</f>
        <v>5</v>
      </c>
      <c r="R131" s="2">
        <f t="shared" si="12"/>
        <v>4.7239329999999997</v>
      </c>
      <c r="S131" s="2">
        <f t="shared" si="13"/>
        <v>-74.062245000000004</v>
      </c>
      <c r="U131">
        <v>130</v>
      </c>
      <c r="V131">
        <v>7194851084</v>
      </c>
      <c r="W131">
        <v>5</v>
      </c>
      <c r="X131">
        <v>0</v>
      </c>
      <c r="Y131">
        <v>0</v>
      </c>
      <c r="Z131">
        <v>5</v>
      </c>
      <c r="AA131" s="2">
        <v>4.7239329999999997</v>
      </c>
      <c r="AB131" s="2">
        <v>-74.062245000000004</v>
      </c>
    </row>
    <row r="132" spans="1:28" x14ac:dyDescent="0.25">
      <c r="A132">
        <v>7194681726</v>
      </c>
      <c r="B132">
        <v>5</v>
      </c>
      <c r="C132" t="s">
        <v>15</v>
      </c>
      <c r="D132">
        <v>4.727061</v>
      </c>
      <c r="E132">
        <v>-74.257180000000005</v>
      </c>
      <c r="F132" s="1">
        <f t="shared" si="17"/>
        <v>5</v>
      </c>
      <c r="G132">
        <v>7194681726</v>
      </c>
      <c r="H132">
        <v>4.727061</v>
      </c>
      <c r="I132">
        <v>7194681726</v>
      </c>
      <c r="J132">
        <v>-74.257180000000005</v>
      </c>
      <c r="L132">
        <v>131</v>
      </c>
      <c r="M132">
        <v>7194681726</v>
      </c>
      <c r="N132">
        <f t="shared" si="14"/>
        <v>5</v>
      </c>
      <c r="O132">
        <f t="shared" si="15"/>
        <v>0</v>
      </c>
      <c r="P132">
        <f t="shared" si="16"/>
        <v>0</v>
      </c>
      <c r="Q132">
        <f t="shared" si="18"/>
        <v>5</v>
      </c>
      <c r="R132" s="2">
        <f t="shared" ref="R132:R195" si="19">VLOOKUP(M132,$G$2:$H$403,2,FALSE)</f>
        <v>4.727061</v>
      </c>
      <c r="S132" s="2">
        <f t="shared" ref="S132:S195" si="20">VLOOKUP(M132,$I$2:$J$403,2,FALSE)</f>
        <v>-74.257180000000005</v>
      </c>
      <c r="U132">
        <v>131</v>
      </c>
      <c r="V132">
        <v>7194681726</v>
      </c>
      <c r="W132">
        <v>5</v>
      </c>
      <c r="X132">
        <v>0</v>
      </c>
      <c r="Y132">
        <v>0</v>
      </c>
      <c r="Z132">
        <v>5</v>
      </c>
      <c r="AA132" s="2">
        <v>4.727061</v>
      </c>
      <c r="AB132" s="2">
        <v>-74.257180000000005</v>
      </c>
    </row>
    <row r="133" spans="1:28" x14ac:dyDescent="0.25">
      <c r="A133">
        <v>7194818914</v>
      </c>
      <c r="B133">
        <v>5</v>
      </c>
      <c r="C133" t="s">
        <v>15</v>
      </c>
      <c r="D133">
        <v>4.7323490000000001</v>
      </c>
      <c r="E133">
        <v>-74.051775000000006</v>
      </c>
      <c r="F133" s="1">
        <f t="shared" si="17"/>
        <v>5</v>
      </c>
      <c r="G133">
        <v>7194818914</v>
      </c>
      <c r="H133">
        <v>4.7323490000000001</v>
      </c>
      <c r="I133">
        <v>7194818914</v>
      </c>
      <c r="J133">
        <v>-74.051775000000006</v>
      </c>
      <c r="L133">
        <v>132</v>
      </c>
      <c r="M133">
        <v>7194818914</v>
      </c>
      <c r="N133">
        <f t="shared" si="14"/>
        <v>5</v>
      </c>
      <c r="O133">
        <f t="shared" si="15"/>
        <v>0</v>
      </c>
      <c r="P133">
        <f t="shared" si="16"/>
        <v>0</v>
      </c>
      <c r="Q133">
        <f t="shared" si="18"/>
        <v>5</v>
      </c>
      <c r="R133" s="2">
        <f t="shared" si="19"/>
        <v>4.7323490000000001</v>
      </c>
      <c r="S133" s="2">
        <f t="shared" si="20"/>
        <v>-74.051775000000006</v>
      </c>
      <c r="U133">
        <v>132</v>
      </c>
      <c r="V133">
        <v>7194818914</v>
      </c>
      <c r="W133">
        <v>5</v>
      </c>
      <c r="X133">
        <v>0</v>
      </c>
      <c r="Y133">
        <v>0</v>
      </c>
      <c r="Z133">
        <v>5</v>
      </c>
      <c r="AA133" s="2">
        <v>4.7323490000000001</v>
      </c>
      <c r="AB133" s="2">
        <v>-74.051775000000006</v>
      </c>
    </row>
    <row r="134" spans="1:28" x14ac:dyDescent="0.25">
      <c r="A134">
        <v>7194863853</v>
      </c>
      <c r="B134">
        <v>22</v>
      </c>
      <c r="C134" t="s">
        <v>15</v>
      </c>
      <c r="D134">
        <v>4.7324999999999999</v>
      </c>
      <c r="E134">
        <v>-74.065488000000002</v>
      </c>
      <c r="F134" s="1">
        <f t="shared" si="17"/>
        <v>317</v>
      </c>
      <c r="G134">
        <v>7194863853</v>
      </c>
      <c r="H134">
        <v>4.7324999999999999</v>
      </c>
      <c r="I134">
        <v>7194863853</v>
      </c>
      <c r="J134">
        <v>-74.065488000000002</v>
      </c>
      <c r="L134">
        <v>133</v>
      </c>
      <c r="M134">
        <v>7194863853</v>
      </c>
      <c r="N134">
        <f t="shared" si="14"/>
        <v>22</v>
      </c>
      <c r="O134">
        <f t="shared" si="15"/>
        <v>280</v>
      </c>
      <c r="P134">
        <f t="shared" si="16"/>
        <v>15</v>
      </c>
      <c r="Q134">
        <f t="shared" si="18"/>
        <v>317</v>
      </c>
      <c r="R134" s="2">
        <f t="shared" si="19"/>
        <v>4.7324999999999999</v>
      </c>
      <c r="S134" s="2">
        <f t="shared" si="20"/>
        <v>-74.065488000000002</v>
      </c>
      <c r="U134">
        <v>133</v>
      </c>
      <c r="V134">
        <v>7194863853</v>
      </c>
      <c r="W134">
        <v>22</v>
      </c>
      <c r="X134">
        <v>280</v>
      </c>
      <c r="Y134">
        <v>15</v>
      </c>
      <c r="Z134">
        <v>317</v>
      </c>
      <c r="AA134" s="2">
        <v>4.7324999999999999</v>
      </c>
      <c r="AB134" s="2">
        <v>-74.065488000000002</v>
      </c>
    </row>
    <row r="135" spans="1:28" x14ac:dyDescent="0.25">
      <c r="A135">
        <v>7194865952</v>
      </c>
      <c r="B135">
        <v>7</v>
      </c>
      <c r="C135" t="s">
        <v>15</v>
      </c>
      <c r="D135">
        <v>4.7325010000000001</v>
      </c>
      <c r="E135">
        <v>-74.065488999999999</v>
      </c>
      <c r="F135" s="1">
        <f t="shared" si="17"/>
        <v>7</v>
      </c>
      <c r="G135">
        <v>7194865952</v>
      </c>
      <c r="H135">
        <v>4.7325010000000001</v>
      </c>
      <c r="I135">
        <v>7194865952</v>
      </c>
      <c r="J135">
        <v>-74.065488999999999</v>
      </c>
      <c r="L135">
        <v>134</v>
      </c>
      <c r="M135">
        <v>7194865952</v>
      </c>
      <c r="N135">
        <f t="shared" si="14"/>
        <v>7</v>
      </c>
      <c r="O135">
        <f t="shared" si="15"/>
        <v>0</v>
      </c>
      <c r="P135">
        <f t="shared" si="16"/>
        <v>0</v>
      </c>
      <c r="Q135">
        <f t="shared" si="18"/>
        <v>7</v>
      </c>
      <c r="R135" s="2">
        <f t="shared" si="19"/>
        <v>4.7325010000000001</v>
      </c>
      <c r="S135" s="2">
        <f t="shared" si="20"/>
        <v>-74.065488999999999</v>
      </c>
      <c r="U135">
        <v>134</v>
      </c>
      <c r="V135">
        <v>7194865952</v>
      </c>
      <c r="W135">
        <v>7</v>
      </c>
      <c r="X135">
        <v>0</v>
      </c>
      <c r="Y135">
        <v>0</v>
      </c>
      <c r="Z135">
        <v>7</v>
      </c>
      <c r="AA135" s="2">
        <v>4.7325010000000001</v>
      </c>
      <c r="AB135" s="2">
        <v>-74.065488999999999</v>
      </c>
    </row>
    <row r="136" spans="1:28" x14ac:dyDescent="0.25">
      <c r="A136">
        <v>7194829924</v>
      </c>
      <c r="B136">
        <v>2</v>
      </c>
      <c r="C136" t="s">
        <v>15</v>
      </c>
      <c r="D136">
        <v>4.7344530000000002</v>
      </c>
      <c r="E136">
        <v>-74.047569999999993</v>
      </c>
      <c r="F136" s="1">
        <f t="shared" si="17"/>
        <v>8</v>
      </c>
      <c r="G136">
        <v>7194829924</v>
      </c>
      <c r="H136">
        <v>4.7344530000000002</v>
      </c>
      <c r="I136">
        <v>7194829924</v>
      </c>
      <c r="J136">
        <v>-74.047569999999993</v>
      </c>
      <c r="L136">
        <v>135</v>
      </c>
      <c r="M136">
        <v>7194829924</v>
      </c>
      <c r="N136">
        <f t="shared" si="14"/>
        <v>2</v>
      </c>
      <c r="O136">
        <f t="shared" si="15"/>
        <v>6</v>
      </c>
      <c r="P136">
        <f t="shared" si="16"/>
        <v>0</v>
      </c>
      <c r="Q136">
        <f t="shared" si="18"/>
        <v>8</v>
      </c>
      <c r="R136" s="2">
        <f t="shared" si="19"/>
        <v>4.7344530000000002</v>
      </c>
      <c r="S136" s="2">
        <f t="shared" si="20"/>
        <v>-74.047569999999993</v>
      </c>
      <c r="U136">
        <v>135</v>
      </c>
      <c r="V136">
        <v>7194829924</v>
      </c>
      <c r="W136">
        <v>2</v>
      </c>
      <c r="X136">
        <v>6</v>
      </c>
      <c r="Y136">
        <v>0</v>
      </c>
      <c r="Z136">
        <v>8</v>
      </c>
      <c r="AA136" s="2">
        <v>4.7344530000000002</v>
      </c>
      <c r="AB136" s="2">
        <v>-74.047569999999993</v>
      </c>
    </row>
    <row r="137" spans="1:28" x14ac:dyDescent="0.25">
      <c r="A137">
        <v>7194865781</v>
      </c>
      <c r="B137">
        <v>1</v>
      </c>
      <c r="C137" t="s">
        <v>15</v>
      </c>
      <c r="D137">
        <v>4.7350700000000003</v>
      </c>
      <c r="E137">
        <v>-74.064749000000006</v>
      </c>
      <c r="F137" s="1">
        <f t="shared" si="17"/>
        <v>6</v>
      </c>
      <c r="G137">
        <v>7194865781</v>
      </c>
      <c r="H137">
        <v>4.7350700000000003</v>
      </c>
      <c r="I137">
        <v>7194865781</v>
      </c>
      <c r="J137">
        <v>-74.064749000000006</v>
      </c>
      <c r="L137">
        <v>136</v>
      </c>
      <c r="M137">
        <v>7194865781</v>
      </c>
      <c r="N137">
        <f t="shared" si="14"/>
        <v>1</v>
      </c>
      <c r="O137">
        <f t="shared" si="15"/>
        <v>5</v>
      </c>
      <c r="P137">
        <f t="shared" si="16"/>
        <v>0</v>
      </c>
      <c r="Q137">
        <f t="shared" si="18"/>
        <v>6</v>
      </c>
      <c r="R137" s="2">
        <f t="shared" si="19"/>
        <v>4.7350700000000003</v>
      </c>
      <c r="S137" s="2">
        <f t="shared" si="20"/>
        <v>-74.064749000000006</v>
      </c>
      <c r="U137">
        <v>136</v>
      </c>
      <c r="V137">
        <v>7194865781</v>
      </c>
      <c r="W137">
        <v>1</v>
      </c>
      <c r="X137">
        <v>5</v>
      </c>
      <c r="Y137">
        <v>0</v>
      </c>
      <c r="Z137">
        <v>6</v>
      </c>
      <c r="AA137" s="2">
        <v>4.7350700000000003</v>
      </c>
      <c r="AB137" s="2">
        <v>-74.064749000000006</v>
      </c>
    </row>
    <row r="138" spans="1:28" x14ac:dyDescent="0.25">
      <c r="A138">
        <v>7194781665</v>
      </c>
      <c r="B138">
        <v>19</v>
      </c>
      <c r="C138" t="s">
        <v>15</v>
      </c>
      <c r="D138">
        <v>4.7357110000000002</v>
      </c>
      <c r="E138">
        <v>-74.270556999999997</v>
      </c>
      <c r="F138" s="1">
        <f t="shared" si="17"/>
        <v>28</v>
      </c>
      <c r="G138">
        <v>7194781665</v>
      </c>
      <c r="H138">
        <v>4.7357110000000002</v>
      </c>
      <c r="I138">
        <v>7194781665</v>
      </c>
      <c r="J138">
        <v>-74.270556999999997</v>
      </c>
      <c r="L138">
        <v>137</v>
      </c>
      <c r="M138">
        <v>7194781665</v>
      </c>
      <c r="N138">
        <f t="shared" si="14"/>
        <v>19</v>
      </c>
      <c r="O138">
        <f t="shared" si="15"/>
        <v>0</v>
      </c>
      <c r="P138">
        <f t="shared" si="16"/>
        <v>9</v>
      </c>
      <c r="Q138">
        <f t="shared" si="18"/>
        <v>28</v>
      </c>
      <c r="R138" s="2">
        <f t="shared" si="19"/>
        <v>4.7357110000000002</v>
      </c>
      <c r="S138" s="2">
        <f t="shared" si="20"/>
        <v>-74.270556999999997</v>
      </c>
      <c r="U138">
        <v>137</v>
      </c>
      <c r="V138">
        <v>7194781665</v>
      </c>
      <c r="W138">
        <v>19</v>
      </c>
      <c r="X138">
        <v>0</v>
      </c>
      <c r="Y138">
        <v>9</v>
      </c>
      <c r="Z138">
        <v>28</v>
      </c>
      <c r="AA138" s="2">
        <v>4.7357110000000002</v>
      </c>
      <c r="AB138" s="2">
        <v>-74.270556999999997</v>
      </c>
    </row>
    <row r="139" spans="1:28" x14ac:dyDescent="0.25">
      <c r="A139">
        <v>7194864635</v>
      </c>
      <c r="B139">
        <v>20</v>
      </c>
      <c r="C139" t="s">
        <v>15</v>
      </c>
      <c r="D139">
        <v>4.7375990000000003</v>
      </c>
      <c r="E139">
        <v>-74.025225000000006</v>
      </c>
      <c r="F139" s="1">
        <f t="shared" si="17"/>
        <v>36</v>
      </c>
      <c r="G139">
        <v>7194864635</v>
      </c>
      <c r="H139">
        <v>4.7375990000000003</v>
      </c>
      <c r="I139">
        <v>7194864635</v>
      </c>
      <c r="J139">
        <v>-74.025225000000006</v>
      </c>
      <c r="L139">
        <v>138</v>
      </c>
      <c r="M139">
        <v>7194864635</v>
      </c>
      <c r="N139">
        <f t="shared" si="14"/>
        <v>20</v>
      </c>
      <c r="O139">
        <f t="shared" si="15"/>
        <v>16</v>
      </c>
      <c r="P139">
        <f t="shared" si="16"/>
        <v>0</v>
      </c>
      <c r="Q139">
        <f t="shared" si="18"/>
        <v>36</v>
      </c>
      <c r="R139" s="2">
        <f t="shared" si="19"/>
        <v>4.7375990000000003</v>
      </c>
      <c r="S139" s="2">
        <f t="shared" si="20"/>
        <v>-74.025225000000006</v>
      </c>
      <c r="U139">
        <v>138</v>
      </c>
      <c r="V139">
        <v>7194864635</v>
      </c>
      <c r="W139">
        <v>20</v>
      </c>
      <c r="X139">
        <v>16</v>
      </c>
      <c r="Y139">
        <v>0</v>
      </c>
      <c r="Z139">
        <v>36</v>
      </c>
      <c r="AA139" s="2">
        <v>4.7375990000000003</v>
      </c>
      <c r="AB139" s="2">
        <v>-74.025225000000006</v>
      </c>
    </row>
    <row r="140" spans="1:28" x14ac:dyDescent="0.25">
      <c r="A140">
        <v>7194863828</v>
      </c>
      <c r="B140">
        <v>69</v>
      </c>
      <c r="C140" t="s">
        <v>15</v>
      </c>
      <c r="D140">
        <v>4.7376110000000002</v>
      </c>
      <c r="E140">
        <v>-74.029437000000001</v>
      </c>
      <c r="F140" s="1">
        <f t="shared" si="17"/>
        <v>69</v>
      </c>
      <c r="G140">
        <v>7194863828</v>
      </c>
      <c r="H140">
        <v>4.7376110000000002</v>
      </c>
      <c r="I140">
        <v>7194863828</v>
      </c>
      <c r="J140">
        <v>-74.029437000000001</v>
      </c>
      <c r="L140">
        <v>139</v>
      </c>
      <c r="M140">
        <v>7194863828</v>
      </c>
      <c r="N140">
        <f t="shared" si="14"/>
        <v>69</v>
      </c>
      <c r="O140">
        <f t="shared" si="15"/>
        <v>0</v>
      </c>
      <c r="P140">
        <f t="shared" si="16"/>
        <v>0</v>
      </c>
      <c r="Q140">
        <f t="shared" si="18"/>
        <v>69</v>
      </c>
      <c r="R140" s="2">
        <f t="shared" si="19"/>
        <v>4.7376110000000002</v>
      </c>
      <c r="S140" s="2">
        <f t="shared" si="20"/>
        <v>-74.029437000000001</v>
      </c>
      <c r="U140">
        <v>139</v>
      </c>
      <c r="V140">
        <v>7194863828</v>
      </c>
      <c r="W140">
        <v>69</v>
      </c>
      <c r="X140">
        <v>0</v>
      </c>
      <c r="Y140">
        <v>0</v>
      </c>
      <c r="Z140">
        <v>69</v>
      </c>
      <c r="AA140" s="2">
        <v>4.7376110000000002</v>
      </c>
      <c r="AB140" s="2">
        <v>-74.029437000000001</v>
      </c>
    </row>
    <row r="141" spans="1:28" x14ac:dyDescent="0.25">
      <c r="A141">
        <v>7194839636</v>
      </c>
      <c r="B141">
        <v>7</v>
      </c>
      <c r="C141" t="s">
        <v>15</v>
      </c>
      <c r="D141">
        <v>4.7387600000000001</v>
      </c>
      <c r="E141">
        <v>-74.137321</v>
      </c>
      <c r="F141" s="1">
        <f t="shared" si="17"/>
        <v>126</v>
      </c>
      <c r="G141">
        <v>7194839636</v>
      </c>
      <c r="H141">
        <v>4.7387600000000001</v>
      </c>
      <c r="I141">
        <v>7194839636</v>
      </c>
      <c r="J141">
        <v>-74.137321</v>
      </c>
      <c r="L141">
        <v>140</v>
      </c>
      <c r="M141">
        <v>7194839636</v>
      </c>
      <c r="N141">
        <f t="shared" si="14"/>
        <v>7</v>
      </c>
      <c r="O141">
        <f t="shared" si="15"/>
        <v>119</v>
      </c>
      <c r="P141">
        <f t="shared" si="16"/>
        <v>0</v>
      </c>
      <c r="Q141">
        <f t="shared" si="18"/>
        <v>126</v>
      </c>
      <c r="R141" s="2">
        <f t="shared" si="19"/>
        <v>4.7387600000000001</v>
      </c>
      <c r="S141" s="2">
        <f t="shared" si="20"/>
        <v>-74.137321</v>
      </c>
      <c r="U141">
        <v>140</v>
      </c>
      <c r="V141">
        <v>7194839636</v>
      </c>
      <c r="W141">
        <v>7</v>
      </c>
      <c r="X141">
        <v>119</v>
      </c>
      <c r="Y141">
        <v>0</v>
      </c>
      <c r="Z141">
        <v>126</v>
      </c>
      <c r="AA141" s="2">
        <v>4.7387600000000001</v>
      </c>
      <c r="AB141" s="2">
        <v>-74.137321</v>
      </c>
    </row>
    <row r="142" spans="1:28" x14ac:dyDescent="0.25">
      <c r="A142">
        <v>7194791756</v>
      </c>
      <c r="B142">
        <v>20</v>
      </c>
      <c r="C142" t="s">
        <v>15</v>
      </c>
      <c r="D142">
        <v>4.7391839999999998</v>
      </c>
      <c r="E142">
        <v>-74.178839999999994</v>
      </c>
      <c r="F142" s="1">
        <f t="shared" si="17"/>
        <v>62</v>
      </c>
      <c r="G142">
        <v>7194791756</v>
      </c>
      <c r="H142">
        <v>4.7391839999999998</v>
      </c>
      <c r="I142">
        <v>7194791756</v>
      </c>
      <c r="J142">
        <v>-74.178839999999994</v>
      </c>
      <c r="L142">
        <v>141</v>
      </c>
      <c r="M142">
        <v>7194791756</v>
      </c>
      <c r="N142">
        <f t="shared" si="14"/>
        <v>20</v>
      </c>
      <c r="O142">
        <f t="shared" si="15"/>
        <v>42</v>
      </c>
      <c r="P142">
        <f t="shared" si="16"/>
        <v>0</v>
      </c>
      <c r="Q142">
        <f t="shared" si="18"/>
        <v>62</v>
      </c>
      <c r="R142" s="2">
        <f t="shared" si="19"/>
        <v>4.7391839999999998</v>
      </c>
      <c r="S142" s="2">
        <f t="shared" si="20"/>
        <v>-74.178839999999994</v>
      </c>
      <c r="U142">
        <v>141</v>
      </c>
      <c r="V142">
        <v>7194791756</v>
      </c>
      <c r="W142">
        <v>20</v>
      </c>
      <c r="X142">
        <v>42</v>
      </c>
      <c r="Y142">
        <v>0</v>
      </c>
      <c r="Z142">
        <v>62</v>
      </c>
      <c r="AA142" s="2">
        <v>4.7391839999999998</v>
      </c>
      <c r="AB142" s="2">
        <v>-74.178839999999994</v>
      </c>
    </row>
    <row r="143" spans="1:28" x14ac:dyDescent="0.25">
      <c r="A143">
        <v>7194859993</v>
      </c>
      <c r="B143">
        <v>33</v>
      </c>
      <c r="C143" t="s">
        <v>15</v>
      </c>
      <c r="D143">
        <v>4.739725</v>
      </c>
      <c r="E143">
        <v>-74.239041</v>
      </c>
      <c r="F143" s="1">
        <f t="shared" si="17"/>
        <v>101</v>
      </c>
      <c r="G143">
        <v>7194859993</v>
      </c>
      <c r="H143">
        <v>4.739725</v>
      </c>
      <c r="I143">
        <v>7194859993</v>
      </c>
      <c r="J143">
        <v>-74.239041</v>
      </c>
      <c r="L143">
        <v>142</v>
      </c>
      <c r="M143">
        <v>7194859993</v>
      </c>
      <c r="N143">
        <f t="shared" si="14"/>
        <v>33</v>
      </c>
      <c r="O143">
        <f t="shared" si="15"/>
        <v>68</v>
      </c>
      <c r="P143">
        <f t="shared" si="16"/>
        <v>0</v>
      </c>
      <c r="Q143">
        <f t="shared" si="18"/>
        <v>101</v>
      </c>
      <c r="R143" s="2">
        <f t="shared" si="19"/>
        <v>4.739725</v>
      </c>
      <c r="S143" s="2">
        <f t="shared" si="20"/>
        <v>-74.239041</v>
      </c>
      <c r="U143">
        <v>142</v>
      </c>
      <c r="V143">
        <v>7194859993</v>
      </c>
      <c r="W143">
        <v>33</v>
      </c>
      <c r="X143">
        <v>68</v>
      </c>
      <c r="Y143">
        <v>0</v>
      </c>
      <c r="Z143">
        <v>101</v>
      </c>
      <c r="AA143" s="2">
        <v>4.739725</v>
      </c>
      <c r="AB143" s="2">
        <v>-74.239041</v>
      </c>
    </row>
    <row r="144" spans="1:28" x14ac:dyDescent="0.25">
      <c r="A144">
        <v>7194865561</v>
      </c>
      <c r="B144">
        <v>3</v>
      </c>
      <c r="C144" t="s">
        <v>15</v>
      </c>
      <c r="D144">
        <v>4.7407130000000004</v>
      </c>
      <c r="E144">
        <v>-74.034086000000002</v>
      </c>
      <c r="F144" s="1">
        <f t="shared" si="17"/>
        <v>8</v>
      </c>
      <c r="G144">
        <v>7194865561</v>
      </c>
      <c r="H144">
        <v>4.7407130000000004</v>
      </c>
      <c r="I144">
        <v>7194865561</v>
      </c>
      <c r="J144">
        <v>-74.034086000000002</v>
      </c>
      <c r="L144">
        <v>143</v>
      </c>
      <c r="M144">
        <v>7194865561</v>
      </c>
      <c r="N144">
        <f t="shared" si="14"/>
        <v>3</v>
      </c>
      <c r="O144">
        <f t="shared" si="15"/>
        <v>5</v>
      </c>
      <c r="P144">
        <f t="shared" si="16"/>
        <v>0</v>
      </c>
      <c r="Q144">
        <f t="shared" si="18"/>
        <v>8</v>
      </c>
      <c r="R144" s="2">
        <f t="shared" si="19"/>
        <v>4.7407130000000004</v>
      </c>
      <c r="S144" s="2">
        <f t="shared" si="20"/>
        <v>-74.034086000000002</v>
      </c>
      <c r="U144">
        <v>143</v>
      </c>
      <c r="V144">
        <v>7194865561</v>
      </c>
      <c r="W144">
        <v>3</v>
      </c>
      <c r="X144">
        <v>5</v>
      </c>
      <c r="Y144">
        <v>0</v>
      </c>
      <c r="Z144">
        <v>8</v>
      </c>
      <c r="AA144" s="2">
        <v>4.7407130000000004</v>
      </c>
      <c r="AB144" s="2">
        <v>-74.034086000000002</v>
      </c>
    </row>
    <row r="145" spans="1:28" x14ac:dyDescent="0.25">
      <c r="A145">
        <v>7194864190</v>
      </c>
      <c r="B145">
        <v>10</v>
      </c>
      <c r="C145" t="s">
        <v>15</v>
      </c>
      <c r="D145">
        <v>4.7417600000000002</v>
      </c>
      <c r="E145">
        <v>-74.025712999999996</v>
      </c>
      <c r="F145" s="1">
        <f t="shared" si="17"/>
        <v>17</v>
      </c>
      <c r="G145">
        <v>7194864190</v>
      </c>
      <c r="H145">
        <v>4.7417600000000002</v>
      </c>
      <c r="I145">
        <v>7194864190</v>
      </c>
      <c r="J145">
        <v>-74.025712999999996</v>
      </c>
      <c r="L145">
        <v>144</v>
      </c>
      <c r="M145">
        <v>7194864190</v>
      </c>
      <c r="N145">
        <f t="shared" si="14"/>
        <v>10</v>
      </c>
      <c r="O145">
        <f t="shared" si="15"/>
        <v>7</v>
      </c>
      <c r="P145">
        <f t="shared" si="16"/>
        <v>0</v>
      </c>
      <c r="Q145">
        <f t="shared" si="18"/>
        <v>17</v>
      </c>
      <c r="R145" s="2">
        <f t="shared" si="19"/>
        <v>4.7417600000000002</v>
      </c>
      <c r="S145" s="2">
        <f t="shared" si="20"/>
        <v>-74.025712999999996</v>
      </c>
      <c r="U145">
        <v>144</v>
      </c>
      <c r="V145">
        <v>7194864190</v>
      </c>
      <c r="W145">
        <v>10</v>
      </c>
      <c r="X145">
        <v>7</v>
      </c>
      <c r="Y145">
        <v>0</v>
      </c>
      <c r="Z145">
        <v>17</v>
      </c>
      <c r="AA145" s="2">
        <v>4.7417600000000002</v>
      </c>
      <c r="AB145" s="2">
        <v>-74.025712999999996</v>
      </c>
    </row>
    <row r="146" spans="1:28" x14ac:dyDescent="0.25">
      <c r="A146">
        <v>7194868164</v>
      </c>
      <c r="B146">
        <v>33</v>
      </c>
      <c r="C146" t="s">
        <v>15</v>
      </c>
      <c r="D146">
        <v>4.7471449999999997</v>
      </c>
      <c r="E146">
        <v>-74.036225999999999</v>
      </c>
      <c r="F146" s="1">
        <f t="shared" si="17"/>
        <v>307</v>
      </c>
      <c r="G146">
        <v>7194868164</v>
      </c>
      <c r="H146">
        <v>4.7471449999999997</v>
      </c>
      <c r="I146">
        <v>7194868164</v>
      </c>
      <c r="J146">
        <v>-74.036225999999999</v>
      </c>
      <c r="L146">
        <v>145</v>
      </c>
      <c r="M146">
        <v>7194868164</v>
      </c>
      <c r="N146">
        <f t="shared" si="14"/>
        <v>33</v>
      </c>
      <c r="O146">
        <f t="shared" si="15"/>
        <v>274</v>
      </c>
      <c r="P146">
        <f t="shared" si="16"/>
        <v>0</v>
      </c>
      <c r="Q146">
        <f t="shared" si="18"/>
        <v>307</v>
      </c>
      <c r="R146" s="2">
        <f t="shared" si="19"/>
        <v>4.7471449999999997</v>
      </c>
      <c r="S146" s="2">
        <f t="shared" si="20"/>
        <v>-74.036225999999999</v>
      </c>
      <c r="U146">
        <v>145</v>
      </c>
      <c r="V146">
        <v>7194868164</v>
      </c>
      <c r="W146">
        <v>33</v>
      </c>
      <c r="X146">
        <v>274</v>
      </c>
      <c r="Y146">
        <v>0</v>
      </c>
      <c r="Z146">
        <v>307</v>
      </c>
      <c r="AA146" s="2">
        <v>4.7471449999999997</v>
      </c>
      <c r="AB146" s="2">
        <v>-74.036225999999999</v>
      </c>
    </row>
    <row r="147" spans="1:28" x14ac:dyDescent="0.25">
      <c r="A147">
        <v>7194863823</v>
      </c>
      <c r="B147">
        <v>12</v>
      </c>
      <c r="C147" t="s">
        <v>15</v>
      </c>
      <c r="D147">
        <v>4.7471579999999998</v>
      </c>
      <c r="E147">
        <v>-74.044473999999994</v>
      </c>
      <c r="F147" s="1">
        <f t="shared" si="17"/>
        <v>36</v>
      </c>
      <c r="G147">
        <v>7194863823</v>
      </c>
      <c r="H147">
        <v>4.7471579999999998</v>
      </c>
      <c r="I147">
        <v>7194863823</v>
      </c>
      <c r="J147">
        <v>-74.044473999999994</v>
      </c>
      <c r="L147">
        <v>146</v>
      </c>
      <c r="M147">
        <v>7194863823</v>
      </c>
      <c r="N147">
        <f t="shared" si="14"/>
        <v>12</v>
      </c>
      <c r="O147">
        <f t="shared" si="15"/>
        <v>24</v>
      </c>
      <c r="P147">
        <f t="shared" si="16"/>
        <v>0</v>
      </c>
      <c r="Q147">
        <f t="shared" si="18"/>
        <v>36</v>
      </c>
      <c r="R147" s="2">
        <f t="shared" si="19"/>
        <v>4.7471579999999998</v>
      </c>
      <c r="S147" s="2">
        <f t="shared" si="20"/>
        <v>-74.044473999999994</v>
      </c>
      <c r="U147">
        <v>146</v>
      </c>
      <c r="V147">
        <v>7194863823</v>
      </c>
      <c r="W147">
        <v>12</v>
      </c>
      <c r="X147">
        <v>24</v>
      </c>
      <c r="Y147">
        <v>0</v>
      </c>
      <c r="Z147">
        <v>36</v>
      </c>
      <c r="AA147" s="2">
        <v>4.7471579999999998</v>
      </c>
      <c r="AB147" s="2">
        <v>-74.044473999999994</v>
      </c>
    </row>
    <row r="148" spans="1:28" x14ac:dyDescent="0.25">
      <c r="A148">
        <v>7194830858</v>
      </c>
      <c r="B148">
        <v>18</v>
      </c>
      <c r="C148" t="s">
        <v>15</v>
      </c>
      <c r="D148">
        <v>4.7501499999999997</v>
      </c>
      <c r="E148">
        <v>-74.065482000000003</v>
      </c>
      <c r="F148" s="1">
        <f t="shared" si="17"/>
        <v>18</v>
      </c>
      <c r="G148">
        <v>7194830858</v>
      </c>
      <c r="H148">
        <v>4.7501499999999997</v>
      </c>
      <c r="I148">
        <v>7194830858</v>
      </c>
      <c r="J148">
        <v>-74.065482000000003</v>
      </c>
      <c r="L148">
        <v>147</v>
      </c>
      <c r="M148">
        <v>7194830858</v>
      </c>
      <c r="N148">
        <f t="shared" si="14"/>
        <v>18</v>
      </c>
      <c r="O148">
        <f t="shared" si="15"/>
        <v>0</v>
      </c>
      <c r="P148">
        <f t="shared" si="16"/>
        <v>0</v>
      </c>
      <c r="Q148">
        <f t="shared" si="18"/>
        <v>18</v>
      </c>
      <c r="R148" s="2">
        <f t="shared" si="19"/>
        <v>4.7501499999999997</v>
      </c>
      <c r="S148" s="2">
        <f t="shared" si="20"/>
        <v>-74.065482000000003</v>
      </c>
      <c r="U148">
        <v>147</v>
      </c>
      <c r="V148">
        <v>7194830858</v>
      </c>
      <c r="W148">
        <v>18</v>
      </c>
      <c r="X148">
        <v>0</v>
      </c>
      <c r="Y148">
        <v>0</v>
      </c>
      <c r="Z148">
        <v>18</v>
      </c>
      <c r="AA148" s="2">
        <v>4.7501499999999997</v>
      </c>
      <c r="AB148" s="2">
        <v>-74.065482000000003</v>
      </c>
    </row>
    <row r="149" spans="1:28" x14ac:dyDescent="0.25">
      <c r="A149">
        <v>7194865489</v>
      </c>
      <c r="B149">
        <v>1</v>
      </c>
      <c r="C149" t="s">
        <v>15</v>
      </c>
      <c r="D149">
        <v>4.752472</v>
      </c>
      <c r="E149">
        <v>-74.052105999999995</v>
      </c>
      <c r="F149" s="1">
        <f t="shared" si="17"/>
        <v>25</v>
      </c>
      <c r="G149">
        <v>7194865489</v>
      </c>
      <c r="H149">
        <v>4.752472</v>
      </c>
      <c r="I149">
        <v>7194865489</v>
      </c>
      <c r="J149">
        <v>-74.052105999999995</v>
      </c>
      <c r="L149">
        <v>148</v>
      </c>
      <c r="M149">
        <v>7194865489</v>
      </c>
      <c r="N149">
        <f t="shared" si="14"/>
        <v>1</v>
      </c>
      <c r="O149">
        <f t="shared" si="15"/>
        <v>0</v>
      </c>
      <c r="P149">
        <f t="shared" si="16"/>
        <v>24</v>
      </c>
      <c r="Q149">
        <f t="shared" si="18"/>
        <v>25</v>
      </c>
      <c r="R149" s="2">
        <f t="shared" si="19"/>
        <v>4.752472</v>
      </c>
      <c r="S149" s="2">
        <f t="shared" si="20"/>
        <v>-74.052105999999995</v>
      </c>
      <c r="U149">
        <v>148</v>
      </c>
      <c r="V149">
        <v>7194865489</v>
      </c>
      <c r="W149">
        <v>1</v>
      </c>
      <c r="X149">
        <v>0</v>
      </c>
      <c r="Y149">
        <v>24</v>
      </c>
      <c r="Z149">
        <v>25</v>
      </c>
      <c r="AA149" s="2">
        <v>4.752472</v>
      </c>
      <c r="AB149" s="2">
        <v>-74.052105999999995</v>
      </c>
    </row>
    <row r="150" spans="1:28" x14ac:dyDescent="0.25">
      <c r="A150">
        <v>7194839041</v>
      </c>
      <c r="B150">
        <v>28</v>
      </c>
      <c r="C150" t="s">
        <v>15</v>
      </c>
      <c r="D150">
        <v>4.7560450000000003</v>
      </c>
      <c r="E150">
        <v>-74.135349000000005</v>
      </c>
      <c r="F150" s="1">
        <f t="shared" si="17"/>
        <v>31</v>
      </c>
      <c r="G150">
        <v>7194839041</v>
      </c>
      <c r="H150">
        <v>4.7560450000000003</v>
      </c>
      <c r="I150">
        <v>7194839041</v>
      </c>
      <c r="J150">
        <v>-74.135349000000005</v>
      </c>
      <c r="L150">
        <v>149</v>
      </c>
      <c r="M150">
        <v>7194839041</v>
      </c>
      <c r="N150">
        <f t="shared" si="14"/>
        <v>28</v>
      </c>
      <c r="O150">
        <f t="shared" si="15"/>
        <v>0</v>
      </c>
      <c r="P150">
        <f t="shared" si="16"/>
        <v>3</v>
      </c>
      <c r="Q150">
        <f t="shared" si="18"/>
        <v>31</v>
      </c>
      <c r="R150" s="2">
        <f t="shared" si="19"/>
        <v>4.7560450000000003</v>
      </c>
      <c r="S150" s="2">
        <f t="shared" si="20"/>
        <v>-74.135349000000005</v>
      </c>
      <c r="U150">
        <v>149</v>
      </c>
      <c r="V150">
        <v>7194839041</v>
      </c>
      <c r="W150">
        <v>28</v>
      </c>
      <c r="X150">
        <v>0</v>
      </c>
      <c r="Y150">
        <v>3</v>
      </c>
      <c r="Z150">
        <v>31</v>
      </c>
      <c r="AA150" s="2">
        <v>4.7560450000000003</v>
      </c>
      <c r="AB150" s="2">
        <v>-74.135349000000005</v>
      </c>
    </row>
    <row r="151" spans="1:28" x14ac:dyDescent="0.25">
      <c r="A151">
        <v>7194820920</v>
      </c>
      <c r="B151">
        <v>5</v>
      </c>
      <c r="C151" t="s">
        <v>15</v>
      </c>
      <c r="D151">
        <v>4.7607419999999996</v>
      </c>
      <c r="E151">
        <v>-74.059270999999995</v>
      </c>
      <c r="F151" s="1">
        <f t="shared" si="17"/>
        <v>5</v>
      </c>
      <c r="G151">
        <v>7194820920</v>
      </c>
      <c r="H151">
        <v>4.7607419999999996</v>
      </c>
      <c r="I151">
        <v>7194820920</v>
      </c>
      <c r="J151">
        <v>-74.059270999999995</v>
      </c>
      <c r="L151">
        <v>150</v>
      </c>
      <c r="M151">
        <v>7194820920</v>
      </c>
      <c r="N151">
        <f t="shared" si="14"/>
        <v>5</v>
      </c>
      <c r="O151">
        <f t="shared" si="15"/>
        <v>0</v>
      </c>
      <c r="P151">
        <f t="shared" si="16"/>
        <v>0</v>
      </c>
      <c r="Q151">
        <f t="shared" si="18"/>
        <v>5</v>
      </c>
      <c r="R151" s="2">
        <f t="shared" si="19"/>
        <v>4.7607419999999996</v>
      </c>
      <c r="S151" s="2">
        <f t="shared" si="20"/>
        <v>-74.059270999999995</v>
      </c>
      <c r="U151">
        <v>150</v>
      </c>
      <c r="V151">
        <v>7194820920</v>
      </c>
      <c r="W151">
        <v>5</v>
      </c>
      <c r="X151">
        <v>0</v>
      </c>
      <c r="Y151">
        <v>0</v>
      </c>
      <c r="Z151">
        <v>5</v>
      </c>
      <c r="AA151" s="2">
        <v>4.7607419999999996</v>
      </c>
      <c r="AB151" s="2">
        <v>-74.059270999999995</v>
      </c>
    </row>
    <row r="152" spans="1:28" x14ac:dyDescent="0.25">
      <c r="A152">
        <v>7194851004</v>
      </c>
      <c r="B152">
        <v>20</v>
      </c>
      <c r="C152" t="s">
        <v>15</v>
      </c>
      <c r="D152">
        <v>4.7633460000000003</v>
      </c>
      <c r="E152">
        <v>-74.046232000000003</v>
      </c>
      <c r="F152" s="1">
        <f t="shared" si="17"/>
        <v>20</v>
      </c>
      <c r="G152">
        <v>7194851004</v>
      </c>
      <c r="H152">
        <v>4.7633460000000003</v>
      </c>
      <c r="I152">
        <v>7194851004</v>
      </c>
      <c r="J152">
        <v>-74.046232000000003</v>
      </c>
      <c r="L152">
        <v>151</v>
      </c>
      <c r="M152">
        <v>7194851004</v>
      </c>
      <c r="N152">
        <f t="shared" si="14"/>
        <v>20</v>
      </c>
      <c r="O152">
        <f t="shared" si="15"/>
        <v>0</v>
      </c>
      <c r="P152">
        <f t="shared" si="16"/>
        <v>0</v>
      </c>
      <c r="Q152">
        <f t="shared" si="18"/>
        <v>20</v>
      </c>
      <c r="R152" s="2">
        <f t="shared" si="19"/>
        <v>4.7633460000000003</v>
      </c>
      <c r="S152" s="2">
        <f t="shared" si="20"/>
        <v>-74.046232000000003</v>
      </c>
      <c r="U152">
        <v>151</v>
      </c>
      <c r="V152">
        <v>7194851004</v>
      </c>
      <c r="W152">
        <v>20</v>
      </c>
      <c r="X152">
        <v>0</v>
      </c>
      <c r="Y152">
        <v>0</v>
      </c>
      <c r="Z152">
        <v>20</v>
      </c>
      <c r="AA152" s="2">
        <v>4.7633460000000003</v>
      </c>
      <c r="AB152" s="2">
        <v>-74.046232000000003</v>
      </c>
    </row>
    <row r="153" spans="1:28" x14ac:dyDescent="0.25">
      <c r="A153">
        <v>7194825918</v>
      </c>
      <c r="B153">
        <v>24</v>
      </c>
      <c r="C153" t="s">
        <v>15</v>
      </c>
      <c r="D153">
        <v>4.7682669999999998</v>
      </c>
      <c r="E153">
        <v>-74.145319000000001</v>
      </c>
      <c r="F153" s="1">
        <f t="shared" si="17"/>
        <v>139</v>
      </c>
      <c r="G153">
        <v>7194825918</v>
      </c>
      <c r="H153">
        <v>4.7682669999999998</v>
      </c>
      <c r="I153">
        <v>7194825918</v>
      </c>
      <c r="J153">
        <v>-74.145319000000001</v>
      </c>
      <c r="L153">
        <v>152</v>
      </c>
      <c r="M153">
        <v>7194825918</v>
      </c>
      <c r="N153">
        <f t="shared" si="14"/>
        <v>24</v>
      </c>
      <c r="O153">
        <f t="shared" si="15"/>
        <v>76</v>
      </c>
      <c r="P153">
        <f t="shared" si="16"/>
        <v>39</v>
      </c>
      <c r="Q153">
        <f t="shared" si="18"/>
        <v>139</v>
      </c>
      <c r="R153" s="2">
        <f t="shared" si="19"/>
        <v>4.7682669999999998</v>
      </c>
      <c r="S153" s="2">
        <f t="shared" si="20"/>
        <v>-74.145319000000001</v>
      </c>
      <c r="U153">
        <v>152</v>
      </c>
      <c r="V153">
        <v>7194825918</v>
      </c>
      <c r="W153">
        <v>24</v>
      </c>
      <c r="X153">
        <v>76</v>
      </c>
      <c r="Y153">
        <v>39</v>
      </c>
      <c r="Z153">
        <v>139</v>
      </c>
      <c r="AA153" s="2">
        <v>4.7682669999999998</v>
      </c>
      <c r="AB153" s="2">
        <v>-74.145319000000001</v>
      </c>
    </row>
    <row r="154" spans="1:28" x14ac:dyDescent="0.25">
      <c r="A154">
        <v>7194866071</v>
      </c>
      <c r="B154">
        <v>43</v>
      </c>
      <c r="C154" t="s">
        <v>15</v>
      </c>
      <c r="D154">
        <v>4.7706790000000003</v>
      </c>
      <c r="E154">
        <v>-74.041309999999996</v>
      </c>
      <c r="F154" s="1">
        <f t="shared" si="17"/>
        <v>43</v>
      </c>
      <c r="G154">
        <v>7194866071</v>
      </c>
      <c r="H154">
        <v>4.7706790000000003</v>
      </c>
      <c r="I154">
        <v>7194866071</v>
      </c>
      <c r="J154">
        <v>-74.041309999999996</v>
      </c>
      <c r="L154">
        <v>153</v>
      </c>
      <c r="M154">
        <v>7194866071</v>
      </c>
      <c r="N154">
        <f t="shared" si="14"/>
        <v>43</v>
      </c>
      <c r="O154">
        <f t="shared" si="15"/>
        <v>0</v>
      </c>
      <c r="P154">
        <f t="shared" si="16"/>
        <v>0</v>
      </c>
      <c r="Q154">
        <f t="shared" si="18"/>
        <v>43</v>
      </c>
      <c r="R154" s="2">
        <f t="shared" si="19"/>
        <v>4.7706790000000003</v>
      </c>
      <c r="S154" s="2">
        <f t="shared" si="20"/>
        <v>-74.041309999999996</v>
      </c>
      <c r="U154">
        <v>153</v>
      </c>
      <c r="V154">
        <v>7194866071</v>
      </c>
      <c r="W154">
        <v>43</v>
      </c>
      <c r="X154">
        <v>0</v>
      </c>
      <c r="Y154">
        <v>0</v>
      </c>
      <c r="Z154">
        <v>43</v>
      </c>
      <c r="AA154" s="2">
        <v>4.7706790000000003</v>
      </c>
      <c r="AB154" s="2">
        <v>-74.041309999999996</v>
      </c>
    </row>
    <row r="155" spans="1:28" x14ac:dyDescent="0.25">
      <c r="A155">
        <v>7194865820</v>
      </c>
      <c r="B155">
        <v>69</v>
      </c>
      <c r="C155" t="s">
        <v>15</v>
      </c>
      <c r="D155">
        <v>4.7753509999999997</v>
      </c>
      <c r="E155">
        <v>-74.14049</v>
      </c>
      <c r="F155" s="1">
        <f t="shared" si="17"/>
        <v>241</v>
      </c>
      <c r="G155">
        <v>7194865820</v>
      </c>
      <c r="H155">
        <v>4.7753509999999997</v>
      </c>
      <c r="I155">
        <v>7194865820</v>
      </c>
      <c r="J155">
        <v>-74.14049</v>
      </c>
      <c r="L155">
        <v>154</v>
      </c>
      <c r="M155">
        <v>7194865820</v>
      </c>
      <c r="N155">
        <f t="shared" si="14"/>
        <v>69</v>
      </c>
      <c r="O155">
        <f t="shared" si="15"/>
        <v>172</v>
      </c>
      <c r="P155">
        <f t="shared" si="16"/>
        <v>0</v>
      </c>
      <c r="Q155">
        <f t="shared" si="18"/>
        <v>241</v>
      </c>
      <c r="R155" s="2">
        <f t="shared" si="19"/>
        <v>4.7753509999999997</v>
      </c>
      <c r="S155" s="2">
        <f t="shared" si="20"/>
        <v>-74.14049</v>
      </c>
      <c r="U155">
        <v>154</v>
      </c>
      <c r="V155">
        <v>7194865820</v>
      </c>
      <c r="W155">
        <v>69</v>
      </c>
      <c r="X155">
        <v>172</v>
      </c>
      <c r="Y155">
        <v>0</v>
      </c>
      <c r="Z155">
        <v>241</v>
      </c>
      <c r="AA155" s="2">
        <v>4.7753509999999997</v>
      </c>
      <c r="AB155" s="2">
        <v>-74.14049</v>
      </c>
    </row>
    <row r="156" spans="1:28" x14ac:dyDescent="0.25">
      <c r="A156">
        <v>7194821466</v>
      </c>
      <c r="B156">
        <v>103</v>
      </c>
      <c r="C156" t="s">
        <v>15</v>
      </c>
      <c r="D156">
        <v>4.7778539999999996</v>
      </c>
      <c r="E156">
        <v>-74.182815000000005</v>
      </c>
      <c r="F156" s="1">
        <f t="shared" si="17"/>
        <v>142</v>
      </c>
      <c r="G156">
        <v>7194821466</v>
      </c>
      <c r="H156">
        <v>4.7778539999999996</v>
      </c>
      <c r="I156">
        <v>7194821466</v>
      </c>
      <c r="J156">
        <v>-74.182815000000005</v>
      </c>
      <c r="L156">
        <v>155</v>
      </c>
      <c r="M156">
        <v>7194821466</v>
      </c>
      <c r="N156">
        <f t="shared" si="14"/>
        <v>103</v>
      </c>
      <c r="O156">
        <f t="shared" si="15"/>
        <v>39</v>
      </c>
      <c r="P156">
        <f t="shared" si="16"/>
        <v>0</v>
      </c>
      <c r="Q156">
        <f t="shared" si="18"/>
        <v>142</v>
      </c>
      <c r="R156" s="2">
        <f t="shared" si="19"/>
        <v>4.7778539999999996</v>
      </c>
      <c r="S156" s="2">
        <f t="shared" si="20"/>
        <v>-74.182815000000005</v>
      </c>
      <c r="U156">
        <v>155</v>
      </c>
      <c r="V156">
        <v>7194821466</v>
      </c>
      <c r="W156">
        <v>103</v>
      </c>
      <c r="X156">
        <v>39</v>
      </c>
      <c r="Y156">
        <v>0</v>
      </c>
      <c r="Z156">
        <v>142</v>
      </c>
      <c r="AA156" s="2">
        <v>4.7778539999999996</v>
      </c>
      <c r="AB156" s="2">
        <v>-74.182815000000005</v>
      </c>
    </row>
    <row r="157" spans="1:28" x14ac:dyDescent="0.25">
      <c r="A157">
        <v>7194866232</v>
      </c>
      <c r="B157">
        <v>12</v>
      </c>
      <c r="C157" t="s">
        <v>15</v>
      </c>
      <c r="D157">
        <v>4.7783569999999997</v>
      </c>
      <c r="E157">
        <v>-74.140221999999994</v>
      </c>
      <c r="F157" s="1">
        <f t="shared" si="17"/>
        <v>17</v>
      </c>
      <c r="G157">
        <v>7194866232</v>
      </c>
      <c r="H157">
        <v>4.7783569999999997</v>
      </c>
      <c r="I157">
        <v>7194866232</v>
      </c>
      <c r="J157">
        <v>-74.140221999999994</v>
      </c>
      <c r="L157">
        <v>156</v>
      </c>
      <c r="M157">
        <v>7194866232</v>
      </c>
      <c r="N157">
        <f t="shared" si="14"/>
        <v>12</v>
      </c>
      <c r="O157">
        <f t="shared" si="15"/>
        <v>5</v>
      </c>
      <c r="P157">
        <f t="shared" si="16"/>
        <v>0</v>
      </c>
      <c r="Q157">
        <f t="shared" si="18"/>
        <v>17</v>
      </c>
      <c r="R157" s="2">
        <f t="shared" si="19"/>
        <v>4.7783569999999997</v>
      </c>
      <c r="S157" s="2">
        <f t="shared" si="20"/>
        <v>-74.140221999999994</v>
      </c>
      <c r="U157">
        <v>156</v>
      </c>
      <c r="V157">
        <v>7194866232</v>
      </c>
      <c r="W157">
        <v>12</v>
      </c>
      <c r="X157">
        <v>5</v>
      </c>
      <c r="Y157">
        <v>0</v>
      </c>
      <c r="Z157">
        <v>17</v>
      </c>
      <c r="AA157" s="2">
        <v>4.7783569999999997</v>
      </c>
      <c r="AB157" s="2">
        <v>-74.140221999999994</v>
      </c>
    </row>
    <row r="158" spans="1:28" x14ac:dyDescent="0.25">
      <c r="A158">
        <v>7194868217</v>
      </c>
      <c r="B158">
        <v>3</v>
      </c>
      <c r="C158" t="s">
        <v>15</v>
      </c>
      <c r="D158">
        <v>4.784198</v>
      </c>
      <c r="E158">
        <v>-74.043983999999995</v>
      </c>
      <c r="F158" s="1">
        <f t="shared" si="17"/>
        <v>29</v>
      </c>
      <c r="G158">
        <v>7194868217</v>
      </c>
      <c r="H158">
        <v>4.784198</v>
      </c>
      <c r="I158">
        <v>7194868217</v>
      </c>
      <c r="J158">
        <v>-74.043983999999995</v>
      </c>
      <c r="L158">
        <v>157</v>
      </c>
      <c r="M158">
        <v>7194868217</v>
      </c>
      <c r="N158">
        <f t="shared" si="14"/>
        <v>3</v>
      </c>
      <c r="O158">
        <f t="shared" si="15"/>
        <v>26</v>
      </c>
      <c r="P158">
        <f t="shared" si="16"/>
        <v>0</v>
      </c>
      <c r="Q158">
        <f t="shared" si="18"/>
        <v>29</v>
      </c>
      <c r="R158" s="2">
        <f t="shared" si="19"/>
        <v>4.784198</v>
      </c>
      <c r="S158" s="2">
        <f t="shared" si="20"/>
        <v>-74.043983999999995</v>
      </c>
      <c r="U158">
        <v>157</v>
      </c>
      <c r="V158">
        <v>7194868217</v>
      </c>
      <c r="W158">
        <v>3</v>
      </c>
      <c r="X158">
        <v>26</v>
      </c>
      <c r="Y158">
        <v>0</v>
      </c>
      <c r="Z158">
        <v>29</v>
      </c>
      <c r="AA158" s="2">
        <v>4.784198</v>
      </c>
      <c r="AB158" s="2">
        <v>-74.043983999999995</v>
      </c>
    </row>
    <row r="159" spans="1:28" x14ac:dyDescent="0.25">
      <c r="A159">
        <v>7194865180</v>
      </c>
      <c r="B159">
        <v>102</v>
      </c>
      <c r="C159" t="s">
        <v>15</v>
      </c>
      <c r="D159">
        <v>4.7928990000000002</v>
      </c>
      <c r="E159">
        <v>-74.076076999999998</v>
      </c>
      <c r="F159" s="1">
        <f t="shared" si="17"/>
        <v>102</v>
      </c>
      <c r="G159">
        <v>7194865180</v>
      </c>
      <c r="H159">
        <v>4.7928990000000002</v>
      </c>
      <c r="I159">
        <v>7194865180</v>
      </c>
      <c r="J159">
        <v>-74.076076999999998</v>
      </c>
      <c r="L159">
        <v>158</v>
      </c>
      <c r="M159">
        <v>7194865180</v>
      </c>
      <c r="N159">
        <f t="shared" si="14"/>
        <v>102</v>
      </c>
      <c r="O159">
        <f t="shared" si="15"/>
        <v>0</v>
      </c>
      <c r="P159">
        <f t="shared" si="16"/>
        <v>0</v>
      </c>
      <c r="Q159">
        <f t="shared" si="18"/>
        <v>102</v>
      </c>
      <c r="R159" s="2">
        <f t="shared" si="19"/>
        <v>4.7928990000000002</v>
      </c>
      <c r="S159" s="2">
        <f t="shared" si="20"/>
        <v>-74.076076999999998</v>
      </c>
      <c r="U159">
        <v>158</v>
      </c>
      <c r="V159">
        <v>7194865180</v>
      </c>
      <c r="W159">
        <v>102</v>
      </c>
      <c r="X159">
        <v>0</v>
      </c>
      <c r="Y159">
        <v>0</v>
      </c>
      <c r="Z159">
        <v>102</v>
      </c>
      <c r="AA159" s="2">
        <v>4.7928990000000002</v>
      </c>
      <c r="AB159" s="2">
        <v>-74.076076999999998</v>
      </c>
    </row>
    <row r="160" spans="1:28" x14ac:dyDescent="0.25">
      <c r="A160">
        <v>7194864087</v>
      </c>
      <c r="B160">
        <v>23</v>
      </c>
      <c r="C160" t="s">
        <v>15</v>
      </c>
      <c r="D160">
        <v>4.7930380000000001</v>
      </c>
      <c r="E160">
        <v>-74.04383</v>
      </c>
      <c r="F160" s="1">
        <f t="shared" si="17"/>
        <v>49</v>
      </c>
      <c r="G160">
        <v>7194864087</v>
      </c>
      <c r="H160">
        <v>4.7930380000000001</v>
      </c>
      <c r="I160">
        <v>7194864087</v>
      </c>
      <c r="J160">
        <v>-74.04383</v>
      </c>
      <c r="L160">
        <v>159</v>
      </c>
      <c r="M160">
        <v>7194864087</v>
      </c>
      <c r="N160">
        <f t="shared" si="14"/>
        <v>23</v>
      </c>
      <c r="O160">
        <f t="shared" si="15"/>
        <v>26</v>
      </c>
      <c r="P160">
        <f t="shared" si="16"/>
        <v>0</v>
      </c>
      <c r="Q160">
        <f t="shared" si="18"/>
        <v>49</v>
      </c>
      <c r="R160" s="2">
        <f t="shared" si="19"/>
        <v>4.7930380000000001</v>
      </c>
      <c r="S160" s="2">
        <f t="shared" si="20"/>
        <v>-74.04383</v>
      </c>
      <c r="U160">
        <v>159</v>
      </c>
      <c r="V160">
        <v>7194864087</v>
      </c>
      <c r="W160">
        <v>23</v>
      </c>
      <c r="X160">
        <v>26</v>
      </c>
      <c r="Y160">
        <v>0</v>
      </c>
      <c r="Z160">
        <v>49</v>
      </c>
      <c r="AA160" s="2">
        <v>4.7930380000000001</v>
      </c>
      <c r="AB160" s="2">
        <v>-74.04383</v>
      </c>
    </row>
    <row r="161" spans="1:28" x14ac:dyDescent="0.25">
      <c r="A161">
        <v>7194818415</v>
      </c>
      <c r="B161">
        <v>26</v>
      </c>
      <c r="C161" t="s">
        <v>15</v>
      </c>
      <c r="D161">
        <v>4.7953270000000003</v>
      </c>
      <c r="E161">
        <v>-74.046931000000001</v>
      </c>
      <c r="F161" s="1">
        <f t="shared" si="17"/>
        <v>58</v>
      </c>
      <c r="G161">
        <v>7194818415</v>
      </c>
      <c r="H161">
        <v>4.7953270000000003</v>
      </c>
      <c r="I161">
        <v>7194818415</v>
      </c>
      <c r="J161">
        <v>-74.046931000000001</v>
      </c>
      <c r="L161">
        <v>160</v>
      </c>
      <c r="M161">
        <v>7194818415</v>
      </c>
      <c r="N161">
        <f t="shared" si="14"/>
        <v>26</v>
      </c>
      <c r="O161">
        <f t="shared" si="15"/>
        <v>32</v>
      </c>
      <c r="P161">
        <f t="shared" si="16"/>
        <v>0</v>
      </c>
      <c r="Q161">
        <f t="shared" si="18"/>
        <v>58</v>
      </c>
      <c r="R161" s="2">
        <f t="shared" si="19"/>
        <v>4.7953270000000003</v>
      </c>
      <c r="S161" s="2">
        <f t="shared" si="20"/>
        <v>-74.046931000000001</v>
      </c>
      <c r="U161">
        <v>160</v>
      </c>
      <c r="V161">
        <v>7194818415</v>
      </c>
      <c r="W161">
        <v>26</v>
      </c>
      <c r="X161">
        <v>32</v>
      </c>
      <c r="Y161">
        <v>0</v>
      </c>
      <c r="Z161">
        <v>58</v>
      </c>
      <c r="AA161" s="2">
        <v>4.7953270000000003</v>
      </c>
      <c r="AB161" s="2">
        <v>-74.046931000000001</v>
      </c>
    </row>
    <row r="162" spans="1:28" x14ac:dyDescent="0.25">
      <c r="A162">
        <v>7194869635</v>
      </c>
      <c r="B162">
        <v>2</v>
      </c>
      <c r="C162" t="s">
        <v>15</v>
      </c>
      <c r="D162">
        <v>4.7961859999999996</v>
      </c>
      <c r="E162">
        <v>-74.190698999999995</v>
      </c>
      <c r="F162" s="1">
        <f t="shared" si="17"/>
        <v>119</v>
      </c>
      <c r="G162">
        <v>7194869635</v>
      </c>
      <c r="H162">
        <v>4.7961859999999996</v>
      </c>
      <c r="I162">
        <v>7194869635</v>
      </c>
      <c r="J162">
        <v>-74.190698999999995</v>
      </c>
      <c r="L162">
        <v>161</v>
      </c>
      <c r="M162">
        <v>7194869635</v>
      </c>
      <c r="N162">
        <f t="shared" si="14"/>
        <v>2</v>
      </c>
      <c r="O162">
        <f t="shared" si="15"/>
        <v>112</v>
      </c>
      <c r="P162">
        <f t="shared" si="16"/>
        <v>5</v>
      </c>
      <c r="Q162">
        <f t="shared" si="18"/>
        <v>119</v>
      </c>
      <c r="R162" s="2">
        <f t="shared" si="19"/>
        <v>4.7961859999999996</v>
      </c>
      <c r="S162" s="2">
        <f t="shared" si="20"/>
        <v>-74.190698999999995</v>
      </c>
      <c r="U162">
        <v>161</v>
      </c>
      <c r="V162">
        <v>7194869635</v>
      </c>
      <c r="W162">
        <v>2</v>
      </c>
      <c r="X162">
        <v>112</v>
      </c>
      <c r="Y162">
        <v>5</v>
      </c>
      <c r="Z162">
        <v>119</v>
      </c>
      <c r="AA162" s="2">
        <v>4.7961859999999996</v>
      </c>
      <c r="AB162" s="2">
        <v>-74.190698999999995</v>
      </c>
    </row>
    <row r="163" spans="1:28" x14ac:dyDescent="0.25">
      <c r="A163">
        <v>7194866333</v>
      </c>
      <c r="B163">
        <v>6</v>
      </c>
      <c r="C163" t="s">
        <v>15</v>
      </c>
      <c r="D163">
        <v>4.7967040000000001</v>
      </c>
      <c r="E163">
        <v>-74.210752999999997</v>
      </c>
      <c r="F163" s="1">
        <f t="shared" si="17"/>
        <v>409</v>
      </c>
      <c r="G163">
        <v>7194866333</v>
      </c>
      <c r="H163">
        <v>4.7967040000000001</v>
      </c>
      <c r="I163">
        <v>7194866333</v>
      </c>
      <c r="J163">
        <v>-74.210752999999997</v>
      </c>
      <c r="L163">
        <v>162</v>
      </c>
      <c r="M163">
        <v>7194866333</v>
      </c>
      <c r="N163">
        <f t="shared" si="14"/>
        <v>6</v>
      </c>
      <c r="O163">
        <f t="shared" si="15"/>
        <v>383</v>
      </c>
      <c r="P163">
        <f t="shared" si="16"/>
        <v>20</v>
      </c>
      <c r="Q163">
        <f t="shared" si="18"/>
        <v>409</v>
      </c>
      <c r="R163" s="2">
        <f t="shared" si="19"/>
        <v>4.7967040000000001</v>
      </c>
      <c r="S163" s="2">
        <f t="shared" si="20"/>
        <v>-74.210752999999997</v>
      </c>
      <c r="U163">
        <v>162</v>
      </c>
      <c r="V163">
        <v>7194866333</v>
      </c>
      <c r="W163">
        <v>6</v>
      </c>
      <c r="X163">
        <v>383</v>
      </c>
      <c r="Y163">
        <v>20</v>
      </c>
      <c r="Z163">
        <v>409</v>
      </c>
      <c r="AA163" s="2">
        <v>4.7967040000000001</v>
      </c>
      <c r="AB163" s="2">
        <v>-74.210752999999997</v>
      </c>
    </row>
    <row r="164" spans="1:28" x14ac:dyDescent="0.25">
      <c r="A164">
        <v>7194863214</v>
      </c>
      <c r="B164">
        <v>19</v>
      </c>
      <c r="C164" t="s">
        <v>15</v>
      </c>
      <c r="D164">
        <v>4.8022340000000003</v>
      </c>
      <c r="E164">
        <v>-74.044822999999994</v>
      </c>
      <c r="F164" s="1">
        <f t="shared" si="17"/>
        <v>88</v>
      </c>
      <c r="G164">
        <v>7194863214</v>
      </c>
      <c r="H164">
        <v>4.8022340000000003</v>
      </c>
      <c r="I164">
        <v>7194863214</v>
      </c>
      <c r="J164">
        <v>-74.044822999999994</v>
      </c>
      <c r="L164">
        <v>163</v>
      </c>
      <c r="M164">
        <v>7194863214</v>
      </c>
      <c r="N164">
        <f t="shared" si="14"/>
        <v>19</v>
      </c>
      <c r="O164">
        <f t="shared" si="15"/>
        <v>9</v>
      </c>
      <c r="P164">
        <f t="shared" si="16"/>
        <v>60</v>
      </c>
      <c r="Q164">
        <f t="shared" si="18"/>
        <v>88</v>
      </c>
      <c r="R164" s="2">
        <f t="shared" si="19"/>
        <v>4.8022340000000003</v>
      </c>
      <c r="S164" s="2">
        <f t="shared" si="20"/>
        <v>-74.044822999999994</v>
      </c>
      <c r="U164">
        <v>163</v>
      </c>
      <c r="V164">
        <v>7194863214</v>
      </c>
      <c r="W164">
        <v>19</v>
      </c>
      <c r="X164">
        <v>9</v>
      </c>
      <c r="Y164">
        <v>60</v>
      </c>
      <c r="Z164">
        <v>88</v>
      </c>
      <c r="AA164" s="2">
        <v>4.8022340000000003</v>
      </c>
      <c r="AB164" s="2">
        <v>-74.044822999999994</v>
      </c>
    </row>
    <row r="165" spans="1:28" x14ac:dyDescent="0.25">
      <c r="A165">
        <v>7194862783</v>
      </c>
      <c r="B165">
        <v>3</v>
      </c>
      <c r="C165" t="s">
        <v>15</v>
      </c>
      <c r="D165">
        <v>4.8079749999999999</v>
      </c>
      <c r="E165">
        <v>-74.069312999999994</v>
      </c>
      <c r="F165" s="1">
        <f t="shared" si="17"/>
        <v>53</v>
      </c>
      <c r="G165">
        <v>7194862783</v>
      </c>
      <c r="H165">
        <v>4.8079749999999999</v>
      </c>
      <c r="I165">
        <v>7194862783</v>
      </c>
      <c r="J165">
        <v>-74.069312999999994</v>
      </c>
      <c r="L165">
        <v>164</v>
      </c>
      <c r="M165">
        <v>7194862783</v>
      </c>
      <c r="N165">
        <f t="shared" si="14"/>
        <v>3</v>
      </c>
      <c r="O165">
        <f t="shared" si="15"/>
        <v>0</v>
      </c>
      <c r="P165">
        <f t="shared" si="16"/>
        <v>50</v>
      </c>
      <c r="Q165">
        <f t="shared" si="18"/>
        <v>53</v>
      </c>
      <c r="R165" s="2">
        <f t="shared" si="19"/>
        <v>4.8079749999999999</v>
      </c>
      <c r="S165" s="2">
        <f t="shared" si="20"/>
        <v>-74.069312999999994</v>
      </c>
      <c r="U165">
        <v>164</v>
      </c>
      <c r="V165">
        <v>7194862783</v>
      </c>
      <c r="W165">
        <v>3</v>
      </c>
      <c r="X165">
        <v>0</v>
      </c>
      <c r="Y165">
        <v>50</v>
      </c>
      <c r="Z165">
        <v>53</v>
      </c>
      <c r="AA165" s="2">
        <v>4.8079749999999999</v>
      </c>
      <c r="AB165" s="2">
        <v>-74.069312999999994</v>
      </c>
    </row>
    <row r="166" spans="1:28" x14ac:dyDescent="0.25">
      <c r="A166">
        <v>7194862998</v>
      </c>
      <c r="B166">
        <v>105</v>
      </c>
      <c r="C166" t="s">
        <v>15</v>
      </c>
      <c r="D166">
        <v>4.807976</v>
      </c>
      <c r="E166">
        <v>-74.069312999999994</v>
      </c>
      <c r="F166" s="1">
        <f t="shared" si="17"/>
        <v>105</v>
      </c>
      <c r="G166">
        <v>7194862998</v>
      </c>
      <c r="H166">
        <v>4.807976</v>
      </c>
      <c r="I166">
        <v>7194862998</v>
      </c>
      <c r="J166">
        <v>-74.069312999999994</v>
      </c>
      <c r="L166">
        <v>165</v>
      </c>
      <c r="M166">
        <v>7194862998</v>
      </c>
      <c r="N166">
        <f t="shared" si="14"/>
        <v>105</v>
      </c>
      <c r="O166">
        <f t="shared" si="15"/>
        <v>0</v>
      </c>
      <c r="P166">
        <f t="shared" si="16"/>
        <v>0</v>
      </c>
      <c r="Q166">
        <f t="shared" si="18"/>
        <v>105</v>
      </c>
      <c r="R166" s="2">
        <f t="shared" si="19"/>
        <v>4.807976</v>
      </c>
      <c r="S166" s="2">
        <f t="shared" si="20"/>
        <v>-74.069312999999994</v>
      </c>
      <c r="U166">
        <v>165</v>
      </c>
      <c r="V166">
        <v>7194862998</v>
      </c>
      <c r="W166">
        <v>105</v>
      </c>
      <c r="X166">
        <v>0</v>
      </c>
      <c r="Y166">
        <v>0</v>
      </c>
      <c r="Z166">
        <v>105</v>
      </c>
      <c r="AA166" s="2">
        <v>4.807976</v>
      </c>
      <c r="AB166" s="2">
        <v>-74.069312999999994</v>
      </c>
    </row>
    <row r="167" spans="1:28" x14ac:dyDescent="0.25">
      <c r="A167">
        <v>7194866257</v>
      </c>
      <c r="B167">
        <v>16</v>
      </c>
      <c r="C167" t="s">
        <v>15</v>
      </c>
      <c r="D167">
        <v>4.8274879999999998</v>
      </c>
      <c r="E167">
        <v>-74.031227999999999</v>
      </c>
      <c r="F167" s="1">
        <f t="shared" si="17"/>
        <v>16</v>
      </c>
      <c r="G167">
        <v>7194866257</v>
      </c>
      <c r="H167">
        <v>4.8274879999999998</v>
      </c>
      <c r="I167">
        <v>7194866257</v>
      </c>
      <c r="J167">
        <v>-74.031227999999999</v>
      </c>
      <c r="L167">
        <v>166</v>
      </c>
      <c r="M167">
        <v>7194866257</v>
      </c>
      <c r="N167">
        <f t="shared" si="14"/>
        <v>16</v>
      </c>
      <c r="O167">
        <f t="shared" si="15"/>
        <v>0</v>
      </c>
      <c r="P167">
        <f t="shared" si="16"/>
        <v>0</v>
      </c>
      <c r="Q167">
        <f t="shared" si="18"/>
        <v>16</v>
      </c>
      <c r="R167" s="2">
        <f t="shared" si="19"/>
        <v>4.8274879999999998</v>
      </c>
      <c r="S167" s="2">
        <f t="shared" si="20"/>
        <v>-74.031227999999999</v>
      </c>
      <c r="U167">
        <v>166</v>
      </c>
      <c r="V167">
        <v>7194866257</v>
      </c>
      <c r="W167">
        <v>16</v>
      </c>
      <c r="X167">
        <v>0</v>
      </c>
      <c r="Y167">
        <v>0</v>
      </c>
      <c r="Z167">
        <v>16</v>
      </c>
      <c r="AA167" s="2">
        <v>4.8274879999999998</v>
      </c>
      <c r="AB167" s="2">
        <v>-74.031227999999999</v>
      </c>
    </row>
    <row r="168" spans="1:28" x14ac:dyDescent="0.25">
      <c r="A168">
        <v>7194824245</v>
      </c>
      <c r="B168">
        <v>2</v>
      </c>
      <c r="C168" t="s">
        <v>15</v>
      </c>
      <c r="D168">
        <v>4.8659999999999997</v>
      </c>
      <c r="E168">
        <v>-73.955799999999996</v>
      </c>
      <c r="F168" s="1">
        <f t="shared" si="17"/>
        <v>147</v>
      </c>
      <c r="G168">
        <v>7194824245</v>
      </c>
      <c r="H168">
        <v>4.8659999999999997</v>
      </c>
      <c r="I168">
        <v>7194824245</v>
      </c>
      <c r="J168">
        <v>-73.955799999999996</v>
      </c>
      <c r="L168">
        <v>167</v>
      </c>
      <c r="M168">
        <v>7194824245</v>
      </c>
      <c r="N168">
        <f t="shared" si="14"/>
        <v>2</v>
      </c>
      <c r="O168">
        <f t="shared" si="15"/>
        <v>145</v>
      </c>
      <c r="P168">
        <f t="shared" si="16"/>
        <v>0</v>
      </c>
      <c r="Q168">
        <f t="shared" si="18"/>
        <v>147</v>
      </c>
      <c r="R168" s="2">
        <f t="shared" si="19"/>
        <v>4.8659999999999997</v>
      </c>
      <c r="S168" s="2">
        <f t="shared" si="20"/>
        <v>-73.955799999999996</v>
      </c>
      <c r="U168">
        <v>167</v>
      </c>
      <c r="V168">
        <v>7194824245</v>
      </c>
      <c r="W168">
        <v>2</v>
      </c>
      <c r="X168">
        <v>145</v>
      </c>
      <c r="Y168">
        <v>0</v>
      </c>
      <c r="Z168">
        <v>147</v>
      </c>
      <c r="AA168" s="2">
        <v>4.8659999999999997</v>
      </c>
      <c r="AB168" s="2">
        <v>-73.955799999999996</v>
      </c>
    </row>
    <row r="169" spans="1:28" x14ac:dyDescent="0.25">
      <c r="A169">
        <v>7194816053</v>
      </c>
      <c r="B169">
        <v>10</v>
      </c>
      <c r="C169" t="s">
        <v>15</v>
      </c>
      <c r="D169">
        <v>4.8755119999999996</v>
      </c>
      <c r="E169">
        <v>-74.039322999999996</v>
      </c>
      <c r="F169" s="1">
        <f t="shared" si="17"/>
        <v>12</v>
      </c>
      <c r="G169">
        <v>7194816053</v>
      </c>
      <c r="H169">
        <v>4.8755119999999996</v>
      </c>
      <c r="I169">
        <v>7194816053</v>
      </c>
      <c r="J169">
        <v>-74.039322999999996</v>
      </c>
      <c r="L169">
        <v>168</v>
      </c>
      <c r="M169">
        <v>7194816053</v>
      </c>
      <c r="N169">
        <f t="shared" si="14"/>
        <v>10</v>
      </c>
      <c r="O169">
        <f t="shared" si="15"/>
        <v>2</v>
      </c>
      <c r="P169">
        <f t="shared" si="16"/>
        <v>0</v>
      </c>
      <c r="Q169">
        <f t="shared" si="18"/>
        <v>12</v>
      </c>
      <c r="R169" s="2">
        <f t="shared" si="19"/>
        <v>4.8755119999999996</v>
      </c>
      <c r="S169" s="2">
        <f t="shared" si="20"/>
        <v>-74.039322999999996</v>
      </c>
      <c r="U169">
        <v>168</v>
      </c>
      <c r="V169">
        <v>7194816053</v>
      </c>
      <c r="W169">
        <v>10</v>
      </c>
      <c r="X169">
        <v>2</v>
      </c>
      <c r="Y169">
        <v>0</v>
      </c>
      <c r="Z169">
        <v>12</v>
      </c>
      <c r="AA169" s="2">
        <v>4.8755119999999996</v>
      </c>
      <c r="AB169" s="2">
        <v>-74.039322999999996</v>
      </c>
    </row>
    <row r="170" spans="1:28" x14ac:dyDescent="0.25">
      <c r="A170">
        <v>7194867930</v>
      </c>
      <c r="B170">
        <v>102</v>
      </c>
      <c r="C170" t="s">
        <v>15</v>
      </c>
      <c r="D170">
        <v>4.8871969999999996</v>
      </c>
      <c r="E170">
        <v>-73.963700000000003</v>
      </c>
      <c r="F170" s="1">
        <f t="shared" si="17"/>
        <v>156</v>
      </c>
      <c r="G170">
        <v>7194867930</v>
      </c>
      <c r="H170">
        <v>4.8871969999999996</v>
      </c>
      <c r="I170">
        <v>7194867930</v>
      </c>
      <c r="J170">
        <v>-73.963700000000003</v>
      </c>
      <c r="L170">
        <v>169</v>
      </c>
      <c r="M170">
        <v>7194867930</v>
      </c>
      <c r="N170">
        <f t="shared" si="14"/>
        <v>102</v>
      </c>
      <c r="O170">
        <f t="shared" si="15"/>
        <v>54</v>
      </c>
      <c r="P170">
        <f t="shared" si="16"/>
        <v>0</v>
      </c>
      <c r="Q170">
        <f t="shared" si="18"/>
        <v>156</v>
      </c>
      <c r="R170" s="2">
        <f t="shared" si="19"/>
        <v>4.8871969999999996</v>
      </c>
      <c r="S170" s="2">
        <f t="shared" si="20"/>
        <v>-73.963700000000003</v>
      </c>
      <c r="U170">
        <v>169</v>
      </c>
      <c r="V170">
        <v>7194867930</v>
      </c>
      <c r="W170">
        <v>102</v>
      </c>
      <c r="X170">
        <v>54</v>
      </c>
      <c r="Y170">
        <v>0</v>
      </c>
      <c r="Z170">
        <v>156</v>
      </c>
      <c r="AA170" s="2">
        <v>4.8871969999999996</v>
      </c>
      <c r="AB170" s="2">
        <v>-73.963700000000003</v>
      </c>
    </row>
    <row r="171" spans="1:28" x14ac:dyDescent="0.25">
      <c r="A171">
        <v>7194863094</v>
      </c>
      <c r="B171">
        <v>5</v>
      </c>
      <c r="C171" t="s">
        <v>15</v>
      </c>
      <c r="D171">
        <v>4.8997640000000002</v>
      </c>
      <c r="E171">
        <v>-74.038798</v>
      </c>
      <c r="F171" s="1">
        <f t="shared" si="17"/>
        <v>9</v>
      </c>
      <c r="G171">
        <v>7194863094</v>
      </c>
      <c r="H171">
        <v>4.8997640000000002</v>
      </c>
      <c r="I171">
        <v>7194863094</v>
      </c>
      <c r="J171">
        <v>-74.038798</v>
      </c>
      <c r="L171">
        <v>170</v>
      </c>
      <c r="M171">
        <v>7194863094</v>
      </c>
      <c r="N171">
        <f t="shared" si="14"/>
        <v>5</v>
      </c>
      <c r="O171">
        <f t="shared" si="15"/>
        <v>4</v>
      </c>
      <c r="P171">
        <f t="shared" si="16"/>
        <v>0</v>
      </c>
      <c r="Q171">
        <f t="shared" si="18"/>
        <v>9</v>
      </c>
      <c r="R171" s="2">
        <f t="shared" si="19"/>
        <v>4.8997640000000002</v>
      </c>
      <c r="S171" s="2">
        <f t="shared" si="20"/>
        <v>-74.038798</v>
      </c>
      <c r="U171">
        <v>170</v>
      </c>
      <c r="V171">
        <v>7194863094</v>
      </c>
      <c r="W171">
        <v>5</v>
      </c>
      <c r="X171">
        <v>4</v>
      </c>
      <c r="Y171">
        <v>0</v>
      </c>
      <c r="Z171">
        <v>9</v>
      </c>
      <c r="AA171" s="2">
        <v>4.8997640000000002</v>
      </c>
      <c r="AB171" s="2">
        <v>-74.038798</v>
      </c>
    </row>
    <row r="172" spans="1:28" x14ac:dyDescent="0.25">
      <c r="A172">
        <v>7194868311</v>
      </c>
      <c r="B172">
        <v>6</v>
      </c>
      <c r="C172" t="s">
        <v>16</v>
      </c>
      <c r="D172">
        <v>4.5346019999999996</v>
      </c>
      <c r="E172">
        <v>-74.251594999999995</v>
      </c>
      <c r="F172" s="1">
        <f t="shared" si="17"/>
        <v>6</v>
      </c>
      <c r="G172">
        <v>7194868311</v>
      </c>
      <c r="H172">
        <v>4.5346019999999996</v>
      </c>
      <c r="I172">
        <v>7194868311</v>
      </c>
      <c r="J172">
        <v>-74.251594999999995</v>
      </c>
      <c r="L172">
        <v>171</v>
      </c>
      <c r="M172">
        <v>7194868311</v>
      </c>
      <c r="N172">
        <f t="shared" si="14"/>
        <v>0</v>
      </c>
      <c r="O172">
        <f t="shared" si="15"/>
        <v>6</v>
      </c>
      <c r="P172">
        <f t="shared" si="16"/>
        <v>0</v>
      </c>
      <c r="Q172">
        <f t="shared" si="18"/>
        <v>6</v>
      </c>
      <c r="R172" s="2">
        <f t="shared" si="19"/>
        <v>4.5346019999999996</v>
      </c>
      <c r="S172" s="2">
        <f t="shared" si="20"/>
        <v>-74.251594999999995</v>
      </c>
      <c r="U172">
        <v>171</v>
      </c>
      <c r="V172">
        <v>7194868311</v>
      </c>
      <c r="W172">
        <v>0</v>
      </c>
      <c r="X172">
        <v>6</v>
      </c>
      <c r="Y172">
        <v>0</v>
      </c>
      <c r="Z172">
        <v>6</v>
      </c>
      <c r="AA172" s="2">
        <v>4.5346019999999996</v>
      </c>
      <c r="AB172" s="2">
        <v>-74.251594999999995</v>
      </c>
    </row>
    <row r="173" spans="1:28" x14ac:dyDescent="0.25">
      <c r="A173">
        <v>7194819453</v>
      </c>
      <c r="B173">
        <v>151</v>
      </c>
      <c r="C173" t="s">
        <v>16</v>
      </c>
      <c r="D173">
        <v>4.5577030000000001</v>
      </c>
      <c r="E173">
        <v>-74.234187000000006</v>
      </c>
      <c r="F173" s="1">
        <f t="shared" si="17"/>
        <v>151</v>
      </c>
      <c r="G173">
        <v>7194819453</v>
      </c>
      <c r="H173">
        <v>4.5577030000000001</v>
      </c>
      <c r="I173">
        <v>7194819453</v>
      </c>
      <c r="J173">
        <v>-74.234187000000006</v>
      </c>
      <c r="L173">
        <v>172</v>
      </c>
      <c r="M173">
        <v>7194819453</v>
      </c>
      <c r="N173">
        <f t="shared" si="14"/>
        <v>0</v>
      </c>
      <c r="O173">
        <f t="shared" si="15"/>
        <v>151</v>
      </c>
      <c r="P173">
        <f t="shared" si="16"/>
        <v>0</v>
      </c>
      <c r="Q173">
        <f t="shared" si="18"/>
        <v>151</v>
      </c>
      <c r="R173" s="2">
        <f t="shared" si="19"/>
        <v>4.5577030000000001</v>
      </c>
      <c r="S173" s="2">
        <f t="shared" si="20"/>
        <v>-74.234187000000006</v>
      </c>
      <c r="U173">
        <v>172</v>
      </c>
      <c r="V173">
        <v>7194819453</v>
      </c>
      <c r="W173">
        <v>0</v>
      </c>
      <c r="X173">
        <v>151</v>
      </c>
      <c r="Y173">
        <v>0</v>
      </c>
      <c r="Z173">
        <v>151</v>
      </c>
      <c r="AA173" s="2">
        <v>4.5577030000000001</v>
      </c>
      <c r="AB173" s="2">
        <v>-74.234187000000006</v>
      </c>
    </row>
    <row r="174" spans="1:28" x14ac:dyDescent="0.25">
      <c r="A174">
        <v>7194840436</v>
      </c>
      <c r="B174">
        <v>79</v>
      </c>
      <c r="C174" t="s">
        <v>16</v>
      </c>
      <c r="D174">
        <v>4.5765349999999998</v>
      </c>
      <c r="E174">
        <v>-74.091116</v>
      </c>
      <c r="F174" s="1">
        <f t="shared" si="17"/>
        <v>85</v>
      </c>
      <c r="G174">
        <v>7194840436</v>
      </c>
      <c r="H174">
        <v>4.5765349999999998</v>
      </c>
      <c r="I174">
        <v>7194840436</v>
      </c>
      <c r="J174">
        <v>-74.091116</v>
      </c>
      <c r="L174">
        <v>173</v>
      </c>
      <c r="M174">
        <v>7194859863</v>
      </c>
      <c r="N174">
        <f t="shared" si="14"/>
        <v>0</v>
      </c>
      <c r="O174">
        <f t="shared" si="15"/>
        <v>30</v>
      </c>
      <c r="P174">
        <f t="shared" si="16"/>
        <v>0</v>
      </c>
      <c r="Q174">
        <f t="shared" si="18"/>
        <v>30</v>
      </c>
      <c r="R174" s="2">
        <f t="shared" si="19"/>
        <v>4.5809059999999997</v>
      </c>
      <c r="S174" s="2">
        <f t="shared" si="20"/>
        <v>-74.126936999999998</v>
      </c>
      <c r="U174">
        <v>173</v>
      </c>
      <c r="V174">
        <v>7194859863</v>
      </c>
      <c r="W174">
        <v>0</v>
      </c>
      <c r="X174">
        <v>30</v>
      </c>
      <c r="Y174">
        <v>0</v>
      </c>
      <c r="Z174">
        <v>30</v>
      </c>
      <c r="AA174" s="2">
        <v>4.5809059999999997</v>
      </c>
      <c r="AB174" s="2">
        <v>-74.126936999999998</v>
      </c>
    </row>
    <row r="175" spans="1:28" x14ac:dyDescent="0.25">
      <c r="A175">
        <v>7194866739</v>
      </c>
      <c r="B175">
        <v>158</v>
      </c>
      <c r="C175" t="s">
        <v>16</v>
      </c>
      <c r="D175">
        <v>4.5795170000000001</v>
      </c>
      <c r="E175">
        <v>-74.125364000000005</v>
      </c>
      <c r="F175" s="1">
        <f t="shared" si="17"/>
        <v>161</v>
      </c>
      <c r="G175">
        <v>7194866739</v>
      </c>
      <c r="H175">
        <v>4.5795170000000001</v>
      </c>
      <c r="I175">
        <v>7194866739</v>
      </c>
      <c r="J175">
        <v>-74.125364000000005</v>
      </c>
      <c r="L175">
        <v>174</v>
      </c>
      <c r="M175">
        <v>7194859769</v>
      </c>
      <c r="N175">
        <f t="shared" si="14"/>
        <v>0</v>
      </c>
      <c r="O175">
        <f t="shared" si="15"/>
        <v>754</v>
      </c>
      <c r="P175">
        <f t="shared" si="16"/>
        <v>0</v>
      </c>
      <c r="Q175">
        <f t="shared" si="18"/>
        <v>754</v>
      </c>
      <c r="R175" s="2">
        <f t="shared" si="19"/>
        <v>4.5855189999999997</v>
      </c>
      <c r="S175" s="2">
        <f t="shared" si="20"/>
        <v>-74.125551000000002</v>
      </c>
      <c r="U175">
        <v>174</v>
      </c>
      <c r="V175">
        <v>7194859769</v>
      </c>
      <c r="W175">
        <v>0</v>
      </c>
      <c r="X175">
        <v>754</v>
      </c>
      <c r="Y175">
        <v>0</v>
      </c>
      <c r="Z175">
        <v>754</v>
      </c>
      <c r="AA175" s="2">
        <v>4.5855189999999997</v>
      </c>
      <c r="AB175" s="2">
        <v>-74.125551000000002</v>
      </c>
    </row>
    <row r="176" spans="1:28" x14ac:dyDescent="0.25">
      <c r="A176">
        <v>7194859863</v>
      </c>
      <c r="B176">
        <v>30</v>
      </c>
      <c r="C176" t="s">
        <v>16</v>
      </c>
      <c r="D176">
        <v>4.5809059999999997</v>
      </c>
      <c r="E176">
        <v>-74.126936999999998</v>
      </c>
      <c r="F176" s="1">
        <f t="shared" si="17"/>
        <v>30</v>
      </c>
      <c r="G176">
        <v>7194859863</v>
      </c>
      <c r="H176">
        <v>4.5809059999999997</v>
      </c>
      <c r="I176">
        <v>7194859863</v>
      </c>
      <c r="J176">
        <v>-74.126936999999998</v>
      </c>
      <c r="L176">
        <v>175</v>
      </c>
      <c r="M176">
        <v>7194859901</v>
      </c>
      <c r="N176">
        <f t="shared" si="14"/>
        <v>0</v>
      </c>
      <c r="O176">
        <f t="shared" si="15"/>
        <v>15</v>
      </c>
      <c r="P176">
        <f t="shared" si="16"/>
        <v>0</v>
      </c>
      <c r="Q176">
        <f t="shared" si="18"/>
        <v>15</v>
      </c>
      <c r="R176" s="2">
        <f t="shared" si="19"/>
        <v>4.5930460000000002</v>
      </c>
      <c r="S176" s="2">
        <f t="shared" si="20"/>
        <v>-74.169002000000006</v>
      </c>
      <c r="U176">
        <v>175</v>
      </c>
      <c r="V176">
        <v>7194859901</v>
      </c>
      <c r="W176">
        <v>0</v>
      </c>
      <c r="X176">
        <v>15</v>
      </c>
      <c r="Y176">
        <v>0</v>
      </c>
      <c r="Z176">
        <v>15</v>
      </c>
      <c r="AA176" s="2">
        <v>4.5930460000000002</v>
      </c>
      <c r="AB176" s="2">
        <v>-74.169002000000006</v>
      </c>
    </row>
    <row r="177" spans="1:28" x14ac:dyDescent="0.25">
      <c r="A177">
        <v>7194818312</v>
      </c>
      <c r="B177">
        <v>37</v>
      </c>
      <c r="C177" t="s">
        <v>16</v>
      </c>
      <c r="D177">
        <v>4.5831359999999997</v>
      </c>
      <c r="E177">
        <v>-74.105939000000006</v>
      </c>
      <c r="F177" s="1">
        <f t="shared" si="17"/>
        <v>127</v>
      </c>
      <c r="G177">
        <v>7194818312</v>
      </c>
      <c r="H177">
        <v>4.5831359999999997</v>
      </c>
      <c r="I177">
        <v>7194818312</v>
      </c>
      <c r="J177">
        <v>-74.105939000000006</v>
      </c>
      <c r="L177">
        <v>176</v>
      </c>
      <c r="M177">
        <v>7194863991</v>
      </c>
      <c r="N177">
        <f t="shared" si="14"/>
        <v>0</v>
      </c>
      <c r="O177">
        <f t="shared" si="15"/>
        <v>51</v>
      </c>
      <c r="P177">
        <f t="shared" si="16"/>
        <v>0</v>
      </c>
      <c r="Q177">
        <f t="shared" si="18"/>
        <v>51</v>
      </c>
      <c r="R177" s="2">
        <f t="shared" si="19"/>
        <v>4.5965490000000004</v>
      </c>
      <c r="S177" s="2">
        <f t="shared" si="20"/>
        <v>-74.067682000000005</v>
      </c>
      <c r="U177">
        <v>176</v>
      </c>
      <c r="V177">
        <v>7194863991</v>
      </c>
      <c r="W177">
        <v>0</v>
      </c>
      <c r="X177">
        <v>51</v>
      </c>
      <c r="Y177">
        <v>0</v>
      </c>
      <c r="Z177">
        <v>51</v>
      </c>
      <c r="AA177" s="2">
        <v>4.5965490000000004</v>
      </c>
      <c r="AB177" s="2">
        <v>-74.067682000000005</v>
      </c>
    </row>
    <row r="178" spans="1:28" x14ac:dyDescent="0.25">
      <c r="A178">
        <v>7194859769</v>
      </c>
      <c r="B178">
        <v>754</v>
      </c>
      <c r="C178" t="s">
        <v>16</v>
      </c>
      <c r="D178">
        <v>4.5855189999999997</v>
      </c>
      <c r="E178">
        <v>-74.125551000000002</v>
      </c>
      <c r="F178" s="1">
        <f t="shared" si="17"/>
        <v>754</v>
      </c>
      <c r="G178">
        <v>7194859769</v>
      </c>
      <c r="H178">
        <v>4.5855189999999997</v>
      </c>
      <c r="I178">
        <v>7194859769</v>
      </c>
      <c r="J178">
        <v>-74.125551000000002</v>
      </c>
      <c r="L178">
        <v>177</v>
      </c>
      <c r="M178">
        <v>7194837633</v>
      </c>
      <c r="N178">
        <f t="shared" si="14"/>
        <v>0</v>
      </c>
      <c r="O178">
        <f t="shared" si="15"/>
        <v>83</v>
      </c>
      <c r="P178">
        <f t="shared" si="16"/>
        <v>0</v>
      </c>
      <c r="Q178">
        <f t="shared" si="18"/>
        <v>83</v>
      </c>
      <c r="R178" s="2">
        <f t="shared" si="19"/>
        <v>4.599316</v>
      </c>
      <c r="S178" s="2">
        <f t="shared" si="20"/>
        <v>-74.166004999999998</v>
      </c>
      <c r="U178">
        <v>177</v>
      </c>
      <c r="V178">
        <v>7194837633</v>
      </c>
      <c r="W178">
        <v>0</v>
      </c>
      <c r="X178">
        <v>83</v>
      </c>
      <c r="Y178">
        <v>0</v>
      </c>
      <c r="Z178">
        <v>83</v>
      </c>
      <c r="AA178" s="2">
        <v>4.599316</v>
      </c>
      <c r="AB178" s="2">
        <v>-74.166004999999998</v>
      </c>
    </row>
    <row r="179" spans="1:28" x14ac:dyDescent="0.25">
      <c r="A179">
        <v>7194828089</v>
      </c>
      <c r="B179">
        <v>21</v>
      </c>
      <c r="C179" t="s">
        <v>16</v>
      </c>
      <c r="D179">
        <v>4.5916589999999999</v>
      </c>
      <c r="E179">
        <v>-74.123153000000002</v>
      </c>
      <c r="F179" s="1">
        <f t="shared" si="17"/>
        <v>51</v>
      </c>
      <c r="G179">
        <v>7194828089</v>
      </c>
      <c r="H179">
        <v>4.5916589999999999</v>
      </c>
      <c r="I179">
        <v>7194828089</v>
      </c>
      <c r="J179">
        <v>-74.123153000000002</v>
      </c>
      <c r="L179">
        <v>178</v>
      </c>
      <c r="M179">
        <v>7194855908</v>
      </c>
      <c r="N179">
        <f t="shared" si="14"/>
        <v>0</v>
      </c>
      <c r="O179">
        <f t="shared" si="15"/>
        <v>144</v>
      </c>
      <c r="P179">
        <f t="shared" si="16"/>
        <v>0</v>
      </c>
      <c r="Q179">
        <f t="shared" si="18"/>
        <v>144</v>
      </c>
      <c r="R179" s="2">
        <f t="shared" si="19"/>
        <v>4.5996969999999999</v>
      </c>
      <c r="S179" s="2">
        <f t="shared" si="20"/>
        <v>-74.123440000000002</v>
      </c>
      <c r="U179">
        <v>178</v>
      </c>
      <c r="V179">
        <v>7194855908</v>
      </c>
      <c r="W179">
        <v>0</v>
      </c>
      <c r="X179">
        <v>144</v>
      </c>
      <c r="Y179">
        <v>0</v>
      </c>
      <c r="Z179">
        <v>144</v>
      </c>
      <c r="AA179" s="2">
        <v>4.5996969999999999</v>
      </c>
      <c r="AB179" s="2">
        <v>-74.123440000000002</v>
      </c>
    </row>
    <row r="180" spans="1:28" x14ac:dyDescent="0.25">
      <c r="A180">
        <v>7194859901</v>
      </c>
      <c r="B180">
        <v>15</v>
      </c>
      <c r="C180" t="s">
        <v>16</v>
      </c>
      <c r="D180">
        <v>4.5930460000000002</v>
      </c>
      <c r="E180">
        <v>-74.169002000000006</v>
      </c>
      <c r="F180" s="1">
        <f t="shared" si="17"/>
        <v>15</v>
      </c>
      <c r="G180">
        <v>7194859901</v>
      </c>
      <c r="H180">
        <v>4.5930460000000002</v>
      </c>
      <c r="I180">
        <v>7194859901</v>
      </c>
      <c r="J180">
        <v>-74.169002000000006</v>
      </c>
      <c r="L180">
        <v>179</v>
      </c>
      <c r="M180">
        <v>7194858481</v>
      </c>
      <c r="N180">
        <f t="shared" si="14"/>
        <v>0</v>
      </c>
      <c r="O180">
        <f t="shared" si="15"/>
        <v>37</v>
      </c>
      <c r="P180">
        <f t="shared" si="16"/>
        <v>2</v>
      </c>
      <c r="Q180">
        <f t="shared" si="18"/>
        <v>39</v>
      </c>
      <c r="R180" s="2">
        <f t="shared" si="19"/>
        <v>4.6012570000000004</v>
      </c>
      <c r="S180" s="2">
        <f t="shared" si="20"/>
        <v>-74.074725999999998</v>
      </c>
      <c r="U180">
        <v>179</v>
      </c>
      <c r="V180">
        <v>7194858481</v>
      </c>
      <c r="W180">
        <v>0</v>
      </c>
      <c r="X180">
        <v>37</v>
      </c>
      <c r="Y180">
        <v>2</v>
      </c>
      <c r="Z180">
        <v>39</v>
      </c>
      <c r="AA180" s="2">
        <v>4.6012570000000004</v>
      </c>
      <c r="AB180" s="2">
        <v>-74.074725999999998</v>
      </c>
    </row>
    <row r="181" spans="1:28" x14ac:dyDescent="0.25">
      <c r="A181">
        <v>7194863991</v>
      </c>
      <c r="B181">
        <v>51</v>
      </c>
      <c r="C181" t="s">
        <v>16</v>
      </c>
      <c r="D181">
        <v>4.5965490000000004</v>
      </c>
      <c r="E181">
        <v>-74.067682000000005</v>
      </c>
      <c r="F181" s="1">
        <f t="shared" si="17"/>
        <v>51</v>
      </c>
      <c r="G181">
        <v>7194863991</v>
      </c>
      <c r="H181">
        <v>4.5965490000000004</v>
      </c>
      <c r="I181">
        <v>7194863991</v>
      </c>
      <c r="J181">
        <v>-74.067682000000005</v>
      </c>
      <c r="L181">
        <v>180</v>
      </c>
      <c r="M181">
        <v>7194865816</v>
      </c>
      <c r="N181">
        <f t="shared" si="14"/>
        <v>0</v>
      </c>
      <c r="O181">
        <f t="shared" si="15"/>
        <v>328</v>
      </c>
      <c r="P181">
        <f t="shared" si="16"/>
        <v>0</v>
      </c>
      <c r="Q181">
        <f t="shared" si="18"/>
        <v>328</v>
      </c>
      <c r="R181" s="2">
        <f t="shared" si="19"/>
        <v>4.6037100000000004</v>
      </c>
      <c r="S181" s="2">
        <f t="shared" si="20"/>
        <v>-74.086907999999994</v>
      </c>
      <c r="U181">
        <v>180</v>
      </c>
      <c r="V181">
        <v>7194865816</v>
      </c>
      <c r="W181">
        <v>0</v>
      </c>
      <c r="X181">
        <v>328</v>
      </c>
      <c r="Y181">
        <v>0</v>
      </c>
      <c r="Z181">
        <v>328</v>
      </c>
      <c r="AA181" s="2">
        <v>4.6037100000000004</v>
      </c>
      <c r="AB181" s="2">
        <v>-74.086907999999994</v>
      </c>
    </row>
    <row r="182" spans="1:28" x14ac:dyDescent="0.25">
      <c r="A182">
        <v>7194865029</v>
      </c>
      <c r="B182">
        <v>3</v>
      </c>
      <c r="C182" t="s">
        <v>16</v>
      </c>
      <c r="D182">
        <v>4.5965499999999997</v>
      </c>
      <c r="E182">
        <v>-74.067683000000002</v>
      </c>
      <c r="F182" s="1">
        <f t="shared" si="17"/>
        <v>43</v>
      </c>
      <c r="G182">
        <v>7194865029</v>
      </c>
      <c r="H182">
        <v>4.5965499999999997</v>
      </c>
      <c r="I182">
        <v>7194865029</v>
      </c>
      <c r="J182">
        <v>-74.067683000000002</v>
      </c>
      <c r="L182">
        <v>181</v>
      </c>
      <c r="M182">
        <v>7194826480</v>
      </c>
      <c r="N182">
        <f t="shared" si="14"/>
        <v>0</v>
      </c>
      <c r="O182">
        <f t="shared" si="15"/>
        <v>21</v>
      </c>
      <c r="P182">
        <f t="shared" si="16"/>
        <v>0</v>
      </c>
      <c r="Q182">
        <f t="shared" si="18"/>
        <v>21</v>
      </c>
      <c r="R182" s="2">
        <f t="shared" si="19"/>
        <v>4.6068290000000003</v>
      </c>
      <c r="S182" s="2">
        <f t="shared" si="20"/>
        <v>-74.217431000000005</v>
      </c>
      <c r="U182">
        <v>181</v>
      </c>
      <c r="V182">
        <v>7194826480</v>
      </c>
      <c r="W182">
        <v>0</v>
      </c>
      <c r="X182">
        <v>21</v>
      </c>
      <c r="Y182">
        <v>0</v>
      </c>
      <c r="Z182">
        <v>21</v>
      </c>
      <c r="AA182" s="2">
        <v>4.6068290000000003</v>
      </c>
      <c r="AB182" s="2">
        <v>-74.217431000000005</v>
      </c>
    </row>
    <row r="183" spans="1:28" x14ac:dyDescent="0.25">
      <c r="A183">
        <v>7194821176</v>
      </c>
      <c r="B183">
        <v>6</v>
      </c>
      <c r="C183" t="s">
        <v>16</v>
      </c>
      <c r="D183">
        <v>4.5978690000000002</v>
      </c>
      <c r="E183">
        <v>-74.067409999999995</v>
      </c>
      <c r="F183" s="1">
        <f t="shared" si="17"/>
        <v>44</v>
      </c>
      <c r="G183">
        <v>7194821176</v>
      </c>
      <c r="H183">
        <v>4.5978690000000002</v>
      </c>
      <c r="I183">
        <v>7194821176</v>
      </c>
      <c r="J183">
        <v>-74.067409999999995</v>
      </c>
      <c r="L183">
        <v>182</v>
      </c>
      <c r="M183">
        <v>7194865453</v>
      </c>
      <c r="N183">
        <f t="shared" si="14"/>
        <v>0</v>
      </c>
      <c r="O183">
        <f t="shared" si="15"/>
        <v>7</v>
      </c>
      <c r="P183">
        <f t="shared" si="16"/>
        <v>0</v>
      </c>
      <c r="Q183">
        <f t="shared" si="18"/>
        <v>7</v>
      </c>
      <c r="R183" s="2">
        <f t="shared" si="19"/>
        <v>4.6149610000000001</v>
      </c>
      <c r="S183" s="2">
        <f t="shared" si="20"/>
        <v>-74.084086999999997</v>
      </c>
      <c r="U183">
        <v>182</v>
      </c>
      <c r="V183">
        <v>7194865453</v>
      </c>
      <c r="W183">
        <v>0</v>
      </c>
      <c r="X183">
        <v>7</v>
      </c>
      <c r="Y183">
        <v>0</v>
      </c>
      <c r="Z183">
        <v>7</v>
      </c>
      <c r="AA183" s="2">
        <v>4.6149610000000001</v>
      </c>
      <c r="AB183" s="2">
        <v>-74.084086999999997</v>
      </c>
    </row>
    <row r="184" spans="1:28" x14ac:dyDescent="0.25">
      <c r="A184">
        <v>7194867817</v>
      </c>
      <c r="B184">
        <v>150</v>
      </c>
      <c r="C184" t="s">
        <v>16</v>
      </c>
      <c r="D184">
        <v>4.599297</v>
      </c>
      <c r="E184">
        <v>-74.142263</v>
      </c>
      <c r="F184" s="1">
        <f t="shared" si="17"/>
        <v>156</v>
      </c>
      <c r="G184">
        <v>7194867817</v>
      </c>
      <c r="H184">
        <v>4.599297</v>
      </c>
      <c r="I184">
        <v>7194867817</v>
      </c>
      <c r="J184">
        <v>-74.142263</v>
      </c>
      <c r="L184">
        <v>183</v>
      </c>
      <c r="M184">
        <v>7194841705</v>
      </c>
      <c r="N184">
        <f t="shared" si="14"/>
        <v>0</v>
      </c>
      <c r="O184">
        <f t="shared" si="15"/>
        <v>14</v>
      </c>
      <c r="P184">
        <f t="shared" si="16"/>
        <v>0</v>
      </c>
      <c r="Q184">
        <f t="shared" si="18"/>
        <v>14</v>
      </c>
      <c r="R184" s="2">
        <f t="shared" si="19"/>
        <v>4.6178419999999996</v>
      </c>
      <c r="S184" s="2">
        <f t="shared" si="20"/>
        <v>-74.099767999999997</v>
      </c>
      <c r="U184">
        <v>183</v>
      </c>
      <c r="V184">
        <v>7194841705</v>
      </c>
      <c r="W184">
        <v>0</v>
      </c>
      <c r="X184">
        <v>14</v>
      </c>
      <c r="Y184">
        <v>0</v>
      </c>
      <c r="Z184">
        <v>14</v>
      </c>
      <c r="AA184" s="2">
        <v>4.6178419999999996</v>
      </c>
      <c r="AB184" s="2">
        <v>-74.099767999999997</v>
      </c>
    </row>
    <row r="185" spans="1:28" x14ac:dyDescent="0.25">
      <c r="A185">
        <v>7194837633</v>
      </c>
      <c r="B185">
        <v>83</v>
      </c>
      <c r="C185" t="s">
        <v>16</v>
      </c>
      <c r="D185">
        <v>4.599316</v>
      </c>
      <c r="E185">
        <v>-74.166004999999998</v>
      </c>
      <c r="F185" s="1">
        <f t="shared" si="17"/>
        <v>83</v>
      </c>
      <c r="G185">
        <v>7194837633</v>
      </c>
      <c r="H185">
        <v>4.599316</v>
      </c>
      <c r="I185">
        <v>7194837633</v>
      </c>
      <c r="J185">
        <v>-74.166004999999998</v>
      </c>
      <c r="L185">
        <v>184</v>
      </c>
      <c r="M185">
        <v>7194864233</v>
      </c>
      <c r="N185">
        <f t="shared" si="14"/>
        <v>0</v>
      </c>
      <c r="O185">
        <f t="shared" si="15"/>
        <v>15</v>
      </c>
      <c r="P185">
        <f t="shared" si="16"/>
        <v>0</v>
      </c>
      <c r="Q185">
        <f t="shared" si="18"/>
        <v>15</v>
      </c>
      <c r="R185" s="2">
        <f t="shared" si="19"/>
        <v>4.6218310000000002</v>
      </c>
      <c r="S185" s="2">
        <f t="shared" si="20"/>
        <v>-74.149185000000003</v>
      </c>
      <c r="U185">
        <v>184</v>
      </c>
      <c r="V185">
        <v>7194864233</v>
      </c>
      <c r="W185">
        <v>0</v>
      </c>
      <c r="X185">
        <v>15</v>
      </c>
      <c r="Y185">
        <v>0</v>
      </c>
      <c r="Z185">
        <v>15</v>
      </c>
      <c r="AA185" s="2">
        <v>4.6218310000000002</v>
      </c>
      <c r="AB185" s="2">
        <v>-74.149185000000003</v>
      </c>
    </row>
    <row r="186" spans="1:28" x14ac:dyDescent="0.25">
      <c r="A186">
        <v>7194855908</v>
      </c>
      <c r="B186">
        <v>144</v>
      </c>
      <c r="C186" t="s">
        <v>16</v>
      </c>
      <c r="D186">
        <v>4.5996969999999999</v>
      </c>
      <c r="E186">
        <v>-74.123440000000002</v>
      </c>
      <c r="F186" s="1">
        <f t="shared" si="17"/>
        <v>144</v>
      </c>
      <c r="G186">
        <v>7194855908</v>
      </c>
      <c r="H186">
        <v>4.5996969999999999</v>
      </c>
      <c r="I186">
        <v>7194855908</v>
      </c>
      <c r="J186">
        <v>-74.123440000000002</v>
      </c>
      <c r="L186">
        <v>185</v>
      </c>
      <c r="M186">
        <v>7194868763</v>
      </c>
      <c r="N186">
        <f t="shared" si="14"/>
        <v>0</v>
      </c>
      <c r="O186">
        <f t="shared" si="15"/>
        <v>246</v>
      </c>
      <c r="P186">
        <f t="shared" si="16"/>
        <v>0</v>
      </c>
      <c r="Q186">
        <f t="shared" si="18"/>
        <v>246</v>
      </c>
      <c r="R186" s="2">
        <f t="shared" si="19"/>
        <v>4.6235540000000004</v>
      </c>
      <c r="S186" s="2">
        <f t="shared" si="20"/>
        <v>-74.098647</v>
      </c>
      <c r="U186">
        <v>185</v>
      </c>
      <c r="V186">
        <v>7194868763</v>
      </c>
      <c r="W186">
        <v>0</v>
      </c>
      <c r="X186">
        <v>246</v>
      </c>
      <c r="Y186">
        <v>0</v>
      </c>
      <c r="Z186">
        <v>246</v>
      </c>
      <c r="AA186" s="2">
        <v>4.6235540000000004</v>
      </c>
      <c r="AB186" s="2">
        <v>-74.098647</v>
      </c>
    </row>
    <row r="187" spans="1:28" x14ac:dyDescent="0.25">
      <c r="A187">
        <v>7194867076</v>
      </c>
      <c r="B187">
        <v>12</v>
      </c>
      <c r="C187" t="s">
        <v>16</v>
      </c>
      <c r="D187">
        <v>4.6000909999999999</v>
      </c>
      <c r="E187">
        <v>-74.065062999999995</v>
      </c>
      <c r="F187" s="1">
        <f t="shared" si="17"/>
        <v>14</v>
      </c>
      <c r="G187">
        <v>7194867076</v>
      </c>
      <c r="H187">
        <v>4.6000909999999999</v>
      </c>
      <c r="I187">
        <v>7194867076</v>
      </c>
      <c r="J187">
        <v>-74.065062999999995</v>
      </c>
      <c r="L187">
        <v>186</v>
      </c>
      <c r="M187">
        <v>7194862447</v>
      </c>
      <c r="N187">
        <f t="shared" si="14"/>
        <v>0</v>
      </c>
      <c r="O187">
        <f t="shared" si="15"/>
        <v>1</v>
      </c>
      <c r="P187">
        <f t="shared" si="16"/>
        <v>0</v>
      </c>
      <c r="Q187">
        <f t="shared" si="18"/>
        <v>1</v>
      </c>
      <c r="R187" s="2">
        <f t="shared" si="19"/>
        <v>4.6290469999999999</v>
      </c>
      <c r="S187" s="2">
        <f t="shared" si="20"/>
        <v>-74.063130999999998</v>
      </c>
      <c r="U187">
        <v>186</v>
      </c>
      <c r="V187">
        <v>7194862447</v>
      </c>
      <c r="W187">
        <v>0</v>
      </c>
      <c r="X187">
        <v>1</v>
      </c>
      <c r="Y187">
        <v>0</v>
      </c>
      <c r="Z187">
        <v>1</v>
      </c>
      <c r="AA187" s="2">
        <v>4.6290469999999999</v>
      </c>
      <c r="AB187" s="2">
        <v>-74.063130999999998</v>
      </c>
    </row>
    <row r="188" spans="1:28" x14ac:dyDescent="0.25">
      <c r="A188">
        <v>7194858481</v>
      </c>
      <c r="B188">
        <v>37</v>
      </c>
      <c r="C188" t="s">
        <v>16</v>
      </c>
      <c r="D188">
        <v>4.6012570000000004</v>
      </c>
      <c r="E188">
        <v>-74.074725999999998</v>
      </c>
      <c r="F188" s="1">
        <f t="shared" si="17"/>
        <v>39</v>
      </c>
      <c r="G188">
        <v>7194858481</v>
      </c>
      <c r="H188">
        <v>4.6012570000000004</v>
      </c>
      <c r="I188">
        <v>7194858481</v>
      </c>
      <c r="J188">
        <v>-74.074725999999998</v>
      </c>
      <c r="L188">
        <v>187</v>
      </c>
      <c r="M188">
        <v>7194860925</v>
      </c>
      <c r="N188">
        <f t="shared" si="14"/>
        <v>0</v>
      </c>
      <c r="O188">
        <f t="shared" si="15"/>
        <v>10</v>
      </c>
      <c r="P188">
        <f t="shared" si="16"/>
        <v>0</v>
      </c>
      <c r="Q188">
        <f t="shared" si="18"/>
        <v>10</v>
      </c>
      <c r="R188" s="2">
        <f t="shared" si="19"/>
        <v>4.6290779999999998</v>
      </c>
      <c r="S188" s="2">
        <f t="shared" si="20"/>
        <v>-74.089794999999995</v>
      </c>
      <c r="U188">
        <v>187</v>
      </c>
      <c r="V188">
        <v>7194860925</v>
      </c>
      <c r="W188">
        <v>0</v>
      </c>
      <c r="X188">
        <v>10</v>
      </c>
      <c r="Y188">
        <v>0</v>
      </c>
      <c r="Z188">
        <v>10</v>
      </c>
      <c r="AA188" s="2">
        <v>4.6290779999999998</v>
      </c>
      <c r="AB188" s="2">
        <v>-74.089794999999995</v>
      </c>
    </row>
    <row r="189" spans="1:28" x14ac:dyDescent="0.25">
      <c r="A189">
        <v>7194865816</v>
      </c>
      <c r="B189">
        <v>328</v>
      </c>
      <c r="C189" t="s">
        <v>16</v>
      </c>
      <c r="D189">
        <v>4.6037100000000004</v>
      </c>
      <c r="E189">
        <v>-74.086907999999994</v>
      </c>
      <c r="F189" s="1">
        <f t="shared" si="17"/>
        <v>328</v>
      </c>
      <c r="G189">
        <v>7194865816</v>
      </c>
      <c r="H189">
        <v>4.6037100000000004</v>
      </c>
      <c r="I189">
        <v>7194865816</v>
      </c>
      <c r="J189">
        <v>-74.086907999999994</v>
      </c>
      <c r="L189">
        <v>188</v>
      </c>
      <c r="M189">
        <v>7194869122</v>
      </c>
      <c r="N189">
        <f t="shared" si="14"/>
        <v>0</v>
      </c>
      <c r="O189">
        <f t="shared" si="15"/>
        <v>12</v>
      </c>
      <c r="P189">
        <f t="shared" si="16"/>
        <v>0</v>
      </c>
      <c r="Q189">
        <f t="shared" si="18"/>
        <v>12</v>
      </c>
      <c r="R189" s="2">
        <f t="shared" si="19"/>
        <v>4.629937</v>
      </c>
      <c r="S189" s="2">
        <f t="shared" si="20"/>
        <v>-74.128376000000003</v>
      </c>
      <c r="U189">
        <v>188</v>
      </c>
      <c r="V189">
        <v>7194869122</v>
      </c>
      <c r="W189">
        <v>0</v>
      </c>
      <c r="X189">
        <v>12</v>
      </c>
      <c r="Y189">
        <v>0</v>
      </c>
      <c r="Z189">
        <v>12</v>
      </c>
      <c r="AA189" s="2">
        <v>4.629937</v>
      </c>
      <c r="AB189" s="2">
        <v>-74.128376000000003</v>
      </c>
    </row>
    <row r="190" spans="1:28" x14ac:dyDescent="0.25">
      <c r="A190">
        <v>7194826480</v>
      </c>
      <c r="B190">
        <v>21</v>
      </c>
      <c r="C190" t="s">
        <v>16</v>
      </c>
      <c r="D190">
        <v>4.6068290000000003</v>
      </c>
      <c r="E190">
        <v>-74.217431000000005</v>
      </c>
      <c r="F190" s="1">
        <f t="shared" si="17"/>
        <v>21</v>
      </c>
      <c r="G190">
        <v>7194826480</v>
      </c>
      <c r="H190">
        <v>4.6068290000000003</v>
      </c>
      <c r="I190">
        <v>7194826480</v>
      </c>
      <c r="J190">
        <v>-74.217431000000005</v>
      </c>
      <c r="L190">
        <v>189</v>
      </c>
      <c r="M190">
        <v>7194866873</v>
      </c>
      <c r="N190">
        <f t="shared" si="14"/>
        <v>0</v>
      </c>
      <c r="O190">
        <f t="shared" si="15"/>
        <v>1033</v>
      </c>
      <c r="P190">
        <f t="shared" si="16"/>
        <v>0</v>
      </c>
      <c r="Q190">
        <f t="shared" si="18"/>
        <v>1033</v>
      </c>
      <c r="R190" s="2">
        <f t="shared" si="19"/>
        <v>4.6301019999999999</v>
      </c>
      <c r="S190" s="2">
        <f t="shared" si="20"/>
        <v>-74.081688999999997</v>
      </c>
      <c r="U190">
        <v>189</v>
      </c>
      <c r="V190">
        <v>7194866873</v>
      </c>
      <c r="W190">
        <v>0</v>
      </c>
      <c r="X190">
        <v>1033</v>
      </c>
      <c r="Y190">
        <v>0</v>
      </c>
      <c r="Z190">
        <v>1033</v>
      </c>
      <c r="AA190" s="2">
        <v>4.6301019999999999</v>
      </c>
      <c r="AB190" s="2">
        <v>-74.081688999999997</v>
      </c>
    </row>
    <row r="191" spans="1:28" x14ac:dyDescent="0.25">
      <c r="A191">
        <v>7194865107</v>
      </c>
      <c r="B191">
        <v>50</v>
      </c>
      <c r="C191" t="s">
        <v>16</v>
      </c>
      <c r="D191">
        <v>4.6114360000000003</v>
      </c>
      <c r="E191">
        <v>-74.077100000000002</v>
      </c>
      <c r="F191" s="1">
        <f t="shared" si="17"/>
        <v>80</v>
      </c>
      <c r="G191">
        <v>7194865107</v>
      </c>
      <c r="H191">
        <v>4.6114360000000003</v>
      </c>
      <c r="I191">
        <v>7194865107</v>
      </c>
      <c r="J191">
        <v>-74.077100000000002</v>
      </c>
      <c r="L191">
        <v>190</v>
      </c>
      <c r="M191">
        <v>7194822354</v>
      </c>
      <c r="N191">
        <f t="shared" si="14"/>
        <v>0</v>
      </c>
      <c r="O191">
        <f t="shared" si="15"/>
        <v>102</v>
      </c>
      <c r="P191">
        <f t="shared" si="16"/>
        <v>0</v>
      </c>
      <c r="Q191">
        <f t="shared" si="18"/>
        <v>102</v>
      </c>
      <c r="R191" s="2">
        <f t="shared" si="19"/>
        <v>4.6354689999999996</v>
      </c>
      <c r="S191" s="2">
        <f t="shared" si="20"/>
        <v>-74.118594999999999</v>
      </c>
      <c r="U191">
        <v>190</v>
      </c>
      <c r="V191">
        <v>7194822354</v>
      </c>
      <c r="W191">
        <v>0</v>
      </c>
      <c r="X191">
        <v>102</v>
      </c>
      <c r="Y191">
        <v>0</v>
      </c>
      <c r="Z191">
        <v>102</v>
      </c>
      <c r="AA191" s="2">
        <v>4.6354689999999996</v>
      </c>
      <c r="AB191" s="2">
        <v>-74.118594999999999</v>
      </c>
    </row>
    <row r="192" spans="1:28" x14ac:dyDescent="0.25">
      <c r="A192">
        <v>7194866368</v>
      </c>
      <c r="B192">
        <v>813</v>
      </c>
      <c r="C192" t="s">
        <v>16</v>
      </c>
      <c r="D192">
        <v>4.6129699999999998</v>
      </c>
      <c r="E192">
        <v>-74.070420999999996</v>
      </c>
      <c r="F192" s="1">
        <f t="shared" si="17"/>
        <v>1228</v>
      </c>
      <c r="G192">
        <v>7194866368</v>
      </c>
      <c r="H192">
        <v>4.6129699999999998</v>
      </c>
      <c r="I192">
        <v>7194866368</v>
      </c>
      <c r="J192">
        <v>-74.070420999999996</v>
      </c>
      <c r="L192">
        <v>191</v>
      </c>
      <c r="M192">
        <v>7194867276</v>
      </c>
      <c r="N192">
        <f t="shared" si="14"/>
        <v>0</v>
      </c>
      <c r="O192">
        <f t="shared" si="15"/>
        <v>96</v>
      </c>
      <c r="P192">
        <f t="shared" si="16"/>
        <v>0</v>
      </c>
      <c r="Q192">
        <f t="shared" si="18"/>
        <v>96</v>
      </c>
      <c r="R192" s="2">
        <f t="shared" si="19"/>
        <v>4.6367029999999998</v>
      </c>
      <c r="S192" s="2">
        <f t="shared" si="20"/>
        <v>-74.115410999999995</v>
      </c>
      <c r="U192">
        <v>191</v>
      </c>
      <c r="V192">
        <v>7194867276</v>
      </c>
      <c r="W192">
        <v>0</v>
      </c>
      <c r="X192">
        <v>96</v>
      </c>
      <c r="Y192">
        <v>0</v>
      </c>
      <c r="Z192">
        <v>96</v>
      </c>
      <c r="AA192" s="2">
        <v>4.6367029999999998</v>
      </c>
      <c r="AB192" s="2">
        <v>-74.115410999999995</v>
      </c>
    </row>
    <row r="193" spans="1:28" x14ac:dyDescent="0.25">
      <c r="A193">
        <v>7194865453</v>
      </c>
      <c r="B193">
        <v>7</v>
      </c>
      <c r="C193" t="s">
        <v>16</v>
      </c>
      <c r="D193">
        <v>4.6149610000000001</v>
      </c>
      <c r="E193">
        <v>-74.084086999999997</v>
      </c>
      <c r="F193" s="1">
        <f t="shared" si="17"/>
        <v>7</v>
      </c>
      <c r="G193">
        <v>7194865453</v>
      </c>
      <c r="H193">
        <v>4.6149610000000001</v>
      </c>
      <c r="I193">
        <v>7194865453</v>
      </c>
      <c r="J193">
        <v>-74.084086999999997</v>
      </c>
      <c r="L193">
        <v>192</v>
      </c>
      <c r="M193">
        <v>7194822919</v>
      </c>
      <c r="N193">
        <f t="shared" si="14"/>
        <v>0</v>
      </c>
      <c r="O193">
        <f t="shared" si="15"/>
        <v>34</v>
      </c>
      <c r="P193">
        <f t="shared" si="16"/>
        <v>0</v>
      </c>
      <c r="Q193">
        <f t="shared" si="18"/>
        <v>34</v>
      </c>
      <c r="R193" s="2">
        <f t="shared" si="19"/>
        <v>4.6410039999999997</v>
      </c>
      <c r="S193" s="2">
        <f t="shared" si="20"/>
        <v>-74.117482999999993</v>
      </c>
      <c r="U193">
        <v>192</v>
      </c>
      <c r="V193">
        <v>7194822919</v>
      </c>
      <c r="W193">
        <v>0</v>
      </c>
      <c r="X193">
        <v>34</v>
      </c>
      <c r="Y193">
        <v>0</v>
      </c>
      <c r="Z193">
        <v>34</v>
      </c>
      <c r="AA193" s="2">
        <v>4.6410039999999997</v>
      </c>
      <c r="AB193" s="2">
        <v>-74.117482999999993</v>
      </c>
    </row>
    <row r="194" spans="1:28" x14ac:dyDescent="0.25">
      <c r="A194">
        <v>7194869164</v>
      </c>
      <c r="B194">
        <v>72</v>
      </c>
      <c r="C194" t="s">
        <v>16</v>
      </c>
      <c r="D194">
        <v>4.6149940000000003</v>
      </c>
      <c r="E194">
        <v>-74.069455000000005</v>
      </c>
      <c r="F194" s="1">
        <f t="shared" si="17"/>
        <v>86</v>
      </c>
      <c r="G194">
        <v>7194869164</v>
      </c>
      <c r="H194">
        <v>4.6149940000000003</v>
      </c>
      <c r="I194">
        <v>7194869164</v>
      </c>
      <c r="J194">
        <v>-74.069455000000005</v>
      </c>
      <c r="L194">
        <v>193</v>
      </c>
      <c r="M194">
        <v>7194874166</v>
      </c>
      <c r="N194">
        <f t="shared" ref="N194:N257" si="21">SUMIFS($B$2:$B$403,$A$2:$A$403,M194,$C$2:$C$403,$N$1)</f>
        <v>0</v>
      </c>
      <c r="O194">
        <f t="shared" ref="O194:O260" si="22">SUMIFS($B$2:$B$403,$A$2:$A$403,M194,$C$2:$C$403,$O$1)</f>
        <v>8</v>
      </c>
      <c r="P194">
        <f t="shared" ref="P194:P260" si="23">SUMIFS($B$2:$B$403,$A$2:$A$403,M194,$C$2:$C$403,$P$1)</f>
        <v>10</v>
      </c>
      <c r="Q194">
        <f t="shared" si="18"/>
        <v>18</v>
      </c>
      <c r="R194" s="2">
        <f t="shared" si="19"/>
        <v>4.6438059999999997</v>
      </c>
      <c r="S194" s="2">
        <f t="shared" si="20"/>
        <v>-74.069458999999995</v>
      </c>
      <c r="U194">
        <v>193</v>
      </c>
      <c r="V194">
        <v>7194874166</v>
      </c>
      <c r="W194">
        <v>0</v>
      </c>
      <c r="X194">
        <v>8</v>
      </c>
      <c r="Y194">
        <v>10</v>
      </c>
      <c r="Z194">
        <v>18</v>
      </c>
      <c r="AA194" s="2">
        <v>4.6438059999999997</v>
      </c>
      <c r="AB194" s="2">
        <v>-74.069458999999995</v>
      </c>
    </row>
    <row r="195" spans="1:28" x14ac:dyDescent="0.25">
      <c r="A195">
        <v>7194845229</v>
      </c>
      <c r="B195">
        <v>8</v>
      </c>
      <c r="C195" t="s">
        <v>16</v>
      </c>
      <c r="D195">
        <v>4.6160920000000001</v>
      </c>
      <c r="E195">
        <v>-74.071138000000005</v>
      </c>
      <c r="F195" s="1">
        <f t="shared" ref="F195:F258" si="24">SUMIFS($B$2:$B$403, $A$2:$A$403, $A195)</f>
        <v>21</v>
      </c>
      <c r="G195">
        <v>7194845229</v>
      </c>
      <c r="H195">
        <v>4.6160920000000001</v>
      </c>
      <c r="I195">
        <v>7194845229</v>
      </c>
      <c r="J195">
        <v>-74.071138000000005</v>
      </c>
      <c r="L195">
        <v>194</v>
      </c>
      <c r="M195">
        <v>7194867305</v>
      </c>
      <c r="N195">
        <f t="shared" si="21"/>
        <v>0</v>
      </c>
      <c r="O195">
        <f t="shared" si="22"/>
        <v>155</v>
      </c>
      <c r="P195">
        <f t="shared" si="23"/>
        <v>0</v>
      </c>
      <c r="Q195">
        <f t="shared" ref="Q195:Q258" si="25">SUM(N195:P195)</f>
        <v>155</v>
      </c>
      <c r="R195" s="2">
        <f t="shared" si="19"/>
        <v>4.6451510000000003</v>
      </c>
      <c r="S195" s="2">
        <f t="shared" si="20"/>
        <v>-74.099777000000003</v>
      </c>
      <c r="U195">
        <v>194</v>
      </c>
      <c r="V195">
        <v>7194867305</v>
      </c>
      <c r="W195">
        <v>0</v>
      </c>
      <c r="X195">
        <v>155</v>
      </c>
      <c r="Y195">
        <v>0</v>
      </c>
      <c r="Z195">
        <v>155</v>
      </c>
      <c r="AA195" s="2">
        <v>4.6451510000000003</v>
      </c>
      <c r="AB195" s="2">
        <v>-74.099777000000003</v>
      </c>
    </row>
    <row r="196" spans="1:28" x14ac:dyDescent="0.25">
      <c r="A196">
        <v>7194841705</v>
      </c>
      <c r="B196">
        <v>14</v>
      </c>
      <c r="C196" t="s">
        <v>16</v>
      </c>
      <c r="D196">
        <v>4.6178419999999996</v>
      </c>
      <c r="E196">
        <v>-74.099767999999997</v>
      </c>
      <c r="F196" s="1">
        <f t="shared" si="24"/>
        <v>14</v>
      </c>
      <c r="G196">
        <v>7194841705</v>
      </c>
      <c r="H196">
        <v>4.6178419999999996</v>
      </c>
      <c r="I196">
        <v>7194841705</v>
      </c>
      <c r="J196">
        <v>-74.099767999999997</v>
      </c>
      <c r="L196">
        <v>195</v>
      </c>
      <c r="M196">
        <v>7194864049</v>
      </c>
      <c r="N196">
        <f t="shared" si="21"/>
        <v>0</v>
      </c>
      <c r="O196">
        <f t="shared" si="22"/>
        <v>46</v>
      </c>
      <c r="P196">
        <f t="shared" si="23"/>
        <v>0</v>
      </c>
      <c r="Q196">
        <f t="shared" si="25"/>
        <v>46</v>
      </c>
      <c r="R196" s="2">
        <f t="shared" ref="R196:R259" si="26">VLOOKUP(M196,$G$2:$H$403,2,FALSE)</f>
        <v>4.6488040000000002</v>
      </c>
      <c r="S196" s="2">
        <f t="shared" ref="S196:S259" si="27">VLOOKUP(M196,$I$2:$J$403,2,FALSE)</f>
        <v>-74.056793999999996</v>
      </c>
      <c r="U196">
        <v>195</v>
      </c>
      <c r="V196">
        <v>7194864049</v>
      </c>
      <c r="W196">
        <v>0</v>
      </c>
      <c r="X196">
        <v>46</v>
      </c>
      <c r="Y196">
        <v>0</v>
      </c>
      <c r="Z196">
        <v>46</v>
      </c>
      <c r="AA196" s="2">
        <v>4.6488040000000002</v>
      </c>
      <c r="AB196" s="2">
        <v>-74.056793999999996</v>
      </c>
    </row>
    <row r="197" spans="1:28" x14ac:dyDescent="0.25">
      <c r="A197">
        <v>7194866931</v>
      </c>
      <c r="B197">
        <v>2</v>
      </c>
      <c r="C197" t="s">
        <v>16</v>
      </c>
      <c r="D197">
        <v>4.6181960000000002</v>
      </c>
      <c r="E197">
        <v>-74.137220999999997</v>
      </c>
      <c r="F197" s="1">
        <f t="shared" si="24"/>
        <v>15</v>
      </c>
      <c r="G197">
        <v>7194866931</v>
      </c>
      <c r="H197">
        <v>4.6181960000000002</v>
      </c>
      <c r="I197">
        <v>7194866931</v>
      </c>
      <c r="J197">
        <v>-74.137220999999997</v>
      </c>
      <c r="L197">
        <v>196</v>
      </c>
      <c r="M197">
        <v>7194838136</v>
      </c>
      <c r="N197">
        <f t="shared" si="21"/>
        <v>0</v>
      </c>
      <c r="O197">
        <f t="shared" si="22"/>
        <v>132</v>
      </c>
      <c r="P197">
        <f t="shared" si="23"/>
        <v>0</v>
      </c>
      <c r="Q197">
        <f t="shared" si="25"/>
        <v>132</v>
      </c>
      <c r="R197" s="2">
        <f t="shared" si="26"/>
        <v>4.6515959999999996</v>
      </c>
      <c r="S197" s="2">
        <f t="shared" si="27"/>
        <v>-74.106772000000007</v>
      </c>
      <c r="U197">
        <v>196</v>
      </c>
      <c r="V197">
        <v>7194838136</v>
      </c>
      <c r="W197">
        <v>0</v>
      </c>
      <c r="X197">
        <v>132</v>
      </c>
      <c r="Y197">
        <v>0</v>
      </c>
      <c r="Z197">
        <v>132</v>
      </c>
      <c r="AA197" s="2">
        <v>4.6515959999999996</v>
      </c>
      <c r="AB197" s="2">
        <v>-74.106772000000007</v>
      </c>
    </row>
    <row r="198" spans="1:28" x14ac:dyDescent="0.25">
      <c r="A198">
        <v>7194864233</v>
      </c>
      <c r="B198">
        <v>15</v>
      </c>
      <c r="C198" t="s">
        <v>16</v>
      </c>
      <c r="D198">
        <v>4.6218310000000002</v>
      </c>
      <c r="E198">
        <v>-74.149185000000003</v>
      </c>
      <c r="F198" s="1">
        <f t="shared" si="24"/>
        <v>15</v>
      </c>
      <c r="G198">
        <v>7194864233</v>
      </c>
      <c r="H198">
        <v>4.6218310000000002</v>
      </c>
      <c r="I198">
        <v>7194864233</v>
      </c>
      <c r="J198">
        <v>-74.149185000000003</v>
      </c>
      <c r="L198">
        <v>197</v>
      </c>
      <c r="M198">
        <v>7194869932</v>
      </c>
      <c r="N198">
        <f t="shared" si="21"/>
        <v>0</v>
      </c>
      <c r="O198">
        <f t="shared" si="22"/>
        <v>48</v>
      </c>
      <c r="P198">
        <f t="shared" si="23"/>
        <v>0</v>
      </c>
      <c r="Q198">
        <f t="shared" si="25"/>
        <v>48</v>
      </c>
      <c r="R198" s="2">
        <f t="shared" si="26"/>
        <v>4.6535390000000003</v>
      </c>
      <c r="S198" s="2">
        <f t="shared" si="27"/>
        <v>-74.054803000000007</v>
      </c>
      <c r="U198">
        <v>197</v>
      </c>
      <c r="V198">
        <v>7194869932</v>
      </c>
      <c r="W198">
        <v>0</v>
      </c>
      <c r="X198">
        <v>48</v>
      </c>
      <c r="Y198">
        <v>0</v>
      </c>
      <c r="Z198">
        <v>48</v>
      </c>
      <c r="AA198" s="2">
        <v>4.6535390000000003</v>
      </c>
      <c r="AB198" s="2">
        <v>-74.054803000000007</v>
      </c>
    </row>
    <row r="199" spans="1:28" x14ac:dyDescent="0.25">
      <c r="A199">
        <v>7194825082</v>
      </c>
      <c r="B199">
        <v>63</v>
      </c>
      <c r="C199" t="s">
        <v>16</v>
      </c>
      <c r="D199">
        <v>4.6229630000000004</v>
      </c>
      <c r="E199">
        <v>-74.077488000000002</v>
      </c>
      <c r="F199" s="1">
        <f t="shared" si="24"/>
        <v>67</v>
      </c>
      <c r="G199">
        <v>7194825082</v>
      </c>
      <c r="H199">
        <v>4.6229630000000004</v>
      </c>
      <c r="I199">
        <v>7194825082</v>
      </c>
      <c r="J199">
        <v>-74.077488000000002</v>
      </c>
      <c r="L199">
        <v>198</v>
      </c>
      <c r="M199">
        <v>7194815397</v>
      </c>
      <c r="N199">
        <f t="shared" si="21"/>
        <v>0</v>
      </c>
      <c r="O199">
        <f t="shared" si="22"/>
        <v>22</v>
      </c>
      <c r="P199">
        <f t="shared" si="23"/>
        <v>0</v>
      </c>
      <c r="Q199">
        <f t="shared" si="25"/>
        <v>22</v>
      </c>
      <c r="R199" s="2">
        <f t="shared" si="26"/>
        <v>4.654363</v>
      </c>
      <c r="S199" s="2">
        <f t="shared" si="27"/>
        <v>-74.055813000000001</v>
      </c>
      <c r="U199">
        <v>198</v>
      </c>
      <c r="V199">
        <v>7194815397</v>
      </c>
      <c r="W199">
        <v>0</v>
      </c>
      <c r="X199">
        <v>22</v>
      </c>
      <c r="Y199">
        <v>0</v>
      </c>
      <c r="Z199">
        <v>22</v>
      </c>
      <c r="AA199" s="2">
        <v>4.654363</v>
      </c>
      <c r="AB199" s="2">
        <v>-74.055813000000001</v>
      </c>
    </row>
    <row r="200" spans="1:28" x14ac:dyDescent="0.25">
      <c r="A200">
        <v>7194868763</v>
      </c>
      <c r="B200">
        <v>246</v>
      </c>
      <c r="C200" t="s">
        <v>16</v>
      </c>
      <c r="D200">
        <v>4.6235540000000004</v>
      </c>
      <c r="E200">
        <v>-74.098647</v>
      </c>
      <c r="F200" s="1">
        <f t="shared" si="24"/>
        <v>246</v>
      </c>
      <c r="G200">
        <v>7194868763</v>
      </c>
      <c r="H200">
        <v>4.6235540000000004</v>
      </c>
      <c r="I200">
        <v>7194868763</v>
      </c>
      <c r="J200">
        <v>-74.098647</v>
      </c>
      <c r="L200">
        <v>199</v>
      </c>
      <c r="M200">
        <v>7194851496</v>
      </c>
      <c r="N200">
        <f t="shared" si="21"/>
        <v>0</v>
      </c>
      <c r="O200">
        <f t="shared" si="22"/>
        <v>29</v>
      </c>
      <c r="P200">
        <f t="shared" si="23"/>
        <v>0</v>
      </c>
      <c r="Q200">
        <f t="shared" si="25"/>
        <v>29</v>
      </c>
      <c r="R200" s="2">
        <f t="shared" si="26"/>
        <v>4.6575600000000001</v>
      </c>
      <c r="S200" s="2">
        <f t="shared" si="27"/>
        <v>-74.056760999999995</v>
      </c>
      <c r="U200">
        <v>199</v>
      </c>
      <c r="V200">
        <v>7194851496</v>
      </c>
      <c r="W200">
        <v>0</v>
      </c>
      <c r="X200">
        <v>29</v>
      </c>
      <c r="Y200">
        <v>0</v>
      </c>
      <c r="Z200">
        <v>29</v>
      </c>
      <c r="AA200" s="2">
        <v>4.6575600000000001</v>
      </c>
      <c r="AB200" s="2">
        <v>-74.056760999999995</v>
      </c>
    </row>
    <row r="201" spans="1:28" x14ac:dyDescent="0.25">
      <c r="A201">
        <v>7194817079</v>
      </c>
      <c r="B201">
        <v>22</v>
      </c>
      <c r="C201" t="s">
        <v>16</v>
      </c>
      <c r="D201">
        <v>4.6236410000000001</v>
      </c>
      <c r="E201">
        <v>-74.082007000000004</v>
      </c>
      <c r="F201" s="1">
        <f t="shared" si="24"/>
        <v>58</v>
      </c>
      <c r="G201">
        <v>7194817079</v>
      </c>
      <c r="H201">
        <v>4.6236410000000001</v>
      </c>
      <c r="I201">
        <v>7194817079</v>
      </c>
      <c r="J201">
        <v>-74.082007000000004</v>
      </c>
      <c r="L201">
        <v>200</v>
      </c>
      <c r="M201">
        <v>7194819013</v>
      </c>
      <c r="N201">
        <f t="shared" si="21"/>
        <v>0</v>
      </c>
      <c r="O201">
        <f t="shared" si="22"/>
        <v>300</v>
      </c>
      <c r="P201">
        <f t="shared" si="23"/>
        <v>0</v>
      </c>
      <c r="Q201">
        <f t="shared" si="25"/>
        <v>300</v>
      </c>
      <c r="R201" s="2">
        <f t="shared" si="26"/>
        <v>4.659249</v>
      </c>
      <c r="S201" s="2">
        <f t="shared" si="27"/>
        <v>-74.075361999999998</v>
      </c>
      <c r="U201">
        <v>200</v>
      </c>
      <c r="V201">
        <v>7194819013</v>
      </c>
      <c r="W201">
        <v>0</v>
      </c>
      <c r="X201">
        <v>300</v>
      </c>
      <c r="Y201">
        <v>0</v>
      </c>
      <c r="Z201">
        <v>300</v>
      </c>
      <c r="AA201" s="2">
        <v>4.659249</v>
      </c>
      <c r="AB201" s="2">
        <v>-74.075361999999998</v>
      </c>
    </row>
    <row r="202" spans="1:28" x14ac:dyDescent="0.25">
      <c r="A202">
        <v>7194821874</v>
      </c>
      <c r="B202">
        <v>5</v>
      </c>
      <c r="C202" t="s">
        <v>16</v>
      </c>
      <c r="D202">
        <v>4.6256360000000001</v>
      </c>
      <c r="E202">
        <v>-74.098286000000002</v>
      </c>
      <c r="F202" s="1">
        <f t="shared" si="24"/>
        <v>10</v>
      </c>
      <c r="G202">
        <v>7194821874</v>
      </c>
      <c r="H202">
        <v>4.6256360000000001</v>
      </c>
      <c r="I202">
        <v>7194821874</v>
      </c>
      <c r="J202">
        <v>-74.098286000000002</v>
      </c>
      <c r="L202">
        <v>201</v>
      </c>
      <c r="M202">
        <v>7194850692</v>
      </c>
      <c r="N202">
        <f t="shared" si="21"/>
        <v>0</v>
      </c>
      <c r="O202">
        <f t="shared" si="22"/>
        <v>20</v>
      </c>
      <c r="P202">
        <f t="shared" si="23"/>
        <v>0</v>
      </c>
      <c r="Q202">
        <f t="shared" si="25"/>
        <v>20</v>
      </c>
      <c r="R202" s="2">
        <f t="shared" si="26"/>
        <v>4.6613889999999998</v>
      </c>
      <c r="S202" s="2">
        <f t="shared" si="27"/>
        <v>-74.100898000000001</v>
      </c>
      <c r="U202">
        <v>201</v>
      </c>
      <c r="V202">
        <v>7194850692</v>
      </c>
      <c r="W202">
        <v>0</v>
      </c>
      <c r="X202">
        <v>20</v>
      </c>
      <c r="Y202">
        <v>0</v>
      </c>
      <c r="Z202">
        <v>20</v>
      </c>
      <c r="AA202" s="2">
        <v>4.6613889999999998</v>
      </c>
      <c r="AB202" s="2">
        <v>-74.100898000000001</v>
      </c>
    </row>
    <row r="203" spans="1:28" x14ac:dyDescent="0.25">
      <c r="A203">
        <v>7194868838</v>
      </c>
      <c r="B203">
        <v>37</v>
      </c>
      <c r="C203" t="s">
        <v>16</v>
      </c>
      <c r="D203">
        <v>4.6256490000000001</v>
      </c>
      <c r="E203">
        <v>-74.111041999999998</v>
      </c>
      <c r="F203" s="1">
        <f t="shared" si="24"/>
        <v>40</v>
      </c>
      <c r="G203">
        <v>7194868838</v>
      </c>
      <c r="H203">
        <v>4.6256490000000001</v>
      </c>
      <c r="I203">
        <v>7194868838</v>
      </c>
      <c r="J203">
        <v>-74.111041999999998</v>
      </c>
      <c r="L203">
        <v>202</v>
      </c>
      <c r="M203">
        <v>7194823787</v>
      </c>
      <c r="N203">
        <f t="shared" si="21"/>
        <v>0</v>
      </c>
      <c r="O203">
        <f t="shared" si="22"/>
        <v>25</v>
      </c>
      <c r="P203">
        <f t="shared" si="23"/>
        <v>0</v>
      </c>
      <c r="Q203">
        <f t="shared" si="25"/>
        <v>25</v>
      </c>
      <c r="R203" s="2">
        <f t="shared" si="26"/>
        <v>4.6620280000000003</v>
      </c>
      <c r="S203" s="2">
        <f t="shared" si="27"/>
        <v>-74.080489999999998</v>
      </c>
      <c r="U203">
        <v>202</v>
      </c>
      <c r="V203">
        <v>7194823787</v>
      </c>
      <c r="W203">
        <v>0</v>
      </c>
      <c r="X203">
        <v>25</v>
      </c>
      <c r="Y203">
        <v>0</v>
      </c>
      <c r="Z203">
        <v>25</v>
      </c>
      <c r="AA203" s="2">
        <v>4.6620280000000003</v>
      </c>
      <c r="AB203" s="2">
        <v>-74.080489999999998</v>
      </c>
    </row>
    <row r="204" spans="1:28" x14ac:dyDescent="0.25">
      <c r="A204">
        <v>7194841659</v>
      </c>
      <c r="B204">
        <v>324</v>
      </c>
      <c r="C204" t="s">
        <v>16</v>
      </c>
      <c r="D204">
        <v>4.6263579999999997</v>
      </c>
      <c r="E204">
        <v>-74.102267999999995</v>
      </c>
      <c r="F204" s="1">
        <f t="shared" si="24"/>
        <v>341</v>
      </c>
      <c r="G204">
        <v>7194841659</v>
      </c>
      <c r="H204">
        <v>4.6263579999999997</v>
      </c>
      <c r="I204">
        <v>7194841659</v>
      </c>
      <c r="J204">
        <v>-74.102267999999995</v>
      </c>
      <c r="L204">
        <v>203</v>
      </c>
      <c r="M204">
        <v>7194821290</v>
      </c>
      <c r="N204">
        <f t="shared" si="21"/>
        <v>0</v>
      </c>
      <c r="O204">
        <f t="shared" si="22"/>
        <v>54</v>
      </c>
      <c r="P204">
        <f t="shared" si="23"/>
        <v>0</v>
      </c>
      <c r="Q204">
        <f t="shared" si="25"/>
        <v>54</v>
      </c>
      <c r="R204" s="2">
        <f t="shared" si="26"/>
        <v>4.6637930000000001</v>
      </c>
      <c r="S204" s="2">
        <f t="shared" si="27"/>
        <v>-74.072248999999999</v>
      </c>
      <c r="U204">
        <v>203</v>
      </c>
      <c r="V204">
        <v>7194821290</v>
      </c>
      <c r="W204">
        <v>0</v>
      </c>
      <c r="X204">
        <v>54</v>
      </c>
      <c r="Y204">
        <v>0</v>
      </c>
      <c r="Z204">
        <v>54</v>
      </c>
      <c r="AA204" s="2">
        <v>4.6637930000000001</v>
      </c>
      <c r="AB204" s="2">
        <v>-74.072248999999999</v>
      </c>
    </row>
    <row r="205" spans="1:28" x14ac:dyDescent="0.25">
      <c r="A205">
        <v>7194865812</v>
      </c>
      <c r="B205">
        <v>545</v>
      </c>
      <c r="C205" t="s">
        <v>16</v>
      </c>
      <c r="D205">
        <v>4.626544</v>
      </c>
      <c r="E205">
        <v>-74.104303000000002</v>
      </c>
      <c r="F205" s="1">
        <f t="shared" si="24"/>
        <v>633</v>
      </c>
      <c r="G205">
        <v>7194865812</v>
      </c>
      <c r="H205">
        <v>4.626544</v>
      </c>
      <c r="I205">
        <v>7194865812</v>
      </c>
      <c r="J205">
        <v>-74.104303000000002</v>
      </c>
      <c r="L205">
        <v>204</v>
      </c>
      <c r="M205">
        <v>7194871417</v>
      </c>
      <c r="N205">
        <f t="shared" si="21"/>
        <v>0</v>
      </c>
      <c r="O205">
        <f t="shared" si="22"/>
        <v>40</v>
      </c>
      <c r="P205">
        <f t="shared" si="23"/>
        <v>0</v>
      </c>
      <c r="Q205">
        <f t="shared" si="25"/>
        <v>40</v>
      </c>
      <c r="R205" s="2">
        <f t="shared" si="26"/>
        <v>4.6663079999999999</v>
      </c>
      <c r="S205" s="2">
        <f t="shared" si="27"/>
        <v>-74.055583999999996</v>
      </c>
      <c r="U205">
        <v>204</v>
      </c>
      <c r="V205">
        <v>7194871417</v>
      </c>
      <c r="W205">
        <v>0</v>
      </c>
      <c r="X205">
        <v>40</v>
      </c>
      <c r="Y205">
        <v>0</v>
      </c>
      <c r="Z205">
        <v>40</v>
      </c>
      <c r="AA205" s="2">
        <v>4.6663079999999999</v>
      </c>
      <c r="AB205" s="2">
        <v>-74.055583999999996</v>
      </c>
    </row>
    <row r="206" spans="1:28" x14ac:dyDescent="0.25">
      <c r="A206">
        <v>7194860631</v>
      </c>
      <c r="B206">
        <v>115</v>
      </c>
      <c r="C206" t="s">
        <v>16</v>
      </c>
      <c r="D206">
        <v>4.6269130000000001</v>
      </c>
      <c r="E206">
        <v>-74.064733000000004</v>
      </c>
      <c r="F206" s="1">
        <f t="shared" si="24"/>
        <v>260</v>
      </c>
      <c r="G206">
        <v>7194860631</v>
      </c>
      <c r="H206">
        <v>4.6269130000000001</v>
      </c>
      <c r="I206">
        <v>7194860631</v>
      </c>
      <c r="J206">
        <v>-74.064733000000004</v>
      </c>
      <c r="L206">
        <v>205</v>
      </c>
      <c r="M206">
        <v>7194799842</v>
      </c>
      <c r="N206">
        <f t="shared" si="21"/>
        <v>0</v>
      </c>
      <c r="O206">
        <f t="shared" si="22"/>
        <v>36</v>
      </c>
      <c r="P206">
        <f t="shared" si="23"/>
        <v>0</v>
      </c>
      <c r="Q206">
        <f t="shared" si="25"/>
        <v>36</v>
      </c>
      <c r="R206" s="2">
        <f t="shared" si="26"/>
        <v>4.6663709999999998</v>
      </c>
      <c r="S206" s="2">
        <f t="shared" si="27"/>
        <v>-74.052642000000006</v>
      </c>
      <c r="U206">
        <v>205</v>
      </c>
      <c r="V206">
        <v>7194799842</v>
      </c>
      <c r="W206">
        <v>0</v>
      </c>
      <c r="X206">
        <v>36</v>
      </c>
      <c r="Y206">
        <v>0</v>
      </c>
      <c r="Z206">
        <v>36</v>
      </c>
      <c r="AA206" s="2">
        <v>4.6663709999999998</v>
      </c>
      <c r="AB206" s="2">
        <v>-74.052642000000006</v>
      </c>
    </row>
    <row r="207" spans="1:28" x14ac:dyDescent="0.25">
      <c r="A207">
        <v>7194862447</v>
      </c>
      <c r="B207">
        <v>1</v>
      </c>
      <c r="C207" t="s">
        <v>16</v>
      </c>
      <c r="D207">
        <v>4.6290469999999999</v>
      </c>
      <c r="E207">
        <v>-74.063130999999998</v>
      </c>
      <c r="F207" s="1">
        <f t="shared" si="24"/>
        <v>1</v>
      </c>
      <c r="G207">
        <v>7194862447</v>
      </c>
      <c r="H207">
        <v>4.6290469999999999</v>
      </c>
      <c r="I207">
        <v>7194862447</v>
      </c>
      <c r="J207">
        <v>-74.063130999999998</v>
      </c>
      <c r="L207">
        <v>206</v>
      </c>
      <c r="M207">
        <v>7194866117</v>
      </c>
      <c r="N207">
        <f t="shared" si="21"/>
        <v>0</v>
      </c>
      <c r="O207">
        <f t="shared" si="22"/>
        <v>19</v>
      </c>
      <c r="P207">
        <f t="shared" si="23"/>
        <v>0</v>
      </c>
      <c r="Q207">
        <f t="shared" si="25"/>
        <v>19</v>
      </c>
      <c r="R207" s="2">
        <f t="shared" si="26"/>
        <v>4.6667490000000003</v>
      </c>
      <c r="S207" s="2">
        <f t="shared" si="27"/>
        <v>-74.054530999999997</v>
      </c>
      <c r="U207">
        <v>206</v>
      </c>
      <c r="V207">
        <v>7194866117</v>
      </c>
      <c r="W207">
        <v>0</v>
      </c>
      <c r="X207">
        <v>19</v>
      </c>
      <c r="Y207">
        <v>0</v>
      </c>
      <c r="Z207">
        <v>19</v>
      </c>
      <c r="AA207" s="2">
        <v>4.6667490000000003</v>
      </c>
      <c r="AB207" s="2">
        <v>-74.054530999999997</v>
      </c>
    </row>
    <row r="208" spans="1:28" x14ac:dyDescent="0.25">
      <c r="A208">
        <v>7194860564</v>
      </c>
      <c r="B208">
        <v>23</v>
      </c>
      <c r="C208" t="s">
        <v>16</v>
      </c>
      <c r="D208">
        <v>4.6290480000000001</v>
      </c>
      <c r="E208">
        <v>-74.063131999999996</v>
      </c>
      <c r="F208" s="1">
        <f t="shared" si="24"/>
        <v>64</v>
      </c>
      <c r="G208">
        <v>7194860564</v>
      </c>
      <c r="H208">
        <v>4.6290480000000001</v>
      </c>
      <c r="I208">
        <v>7194860564</v>
      </c>
      <c r="J208">
        <v>-74.063131999999996</v>
      </c>
      <c r="L208">
        <v>207</v>
      </c>
      <c r="M208">
        <v>7194868442</v>
      </c>
      <c r="N208">
        <f t="shared" si="21"/>
        <v>0</v>
      </c>
      <c r="O208">
        <f t="shared" si="22"/>
        <v>15</v>
      </c>
      <c r="P208">
        <f t="shared" si="23"/>
        <v>0</v>
      </c>
      <c r="Q208">
        <f t="shared" si="25"/>
        <v>15</v>
      </c>
      <c r="R208" s="2">
        <f t="shared" si="26"/>
        <v>4.6683339999999998</v>
      </c>
      <c r="S208" s="2">
        <f t="shared" si="27"/>
        <v>-74.054243999999997</v>
      </c>
      <c r="U208">
        <v>207</v>
      </c>
      <c r="V208">
        <v>7194868442</v>
      </c>
      <c r="W208">
        <v>0</v>
      </c>
      <c r="X208">
        <v>15</v>
      </c>
      <c r="Y208">
        <v>0</v>
      </c>
      <c r="Z208">
        <v>15</v>
      </c>
      <c r="AA208" s="2">
        <v>4.6683339999999998</v>
      </c>
      <c r="AB208" s="2">
        <v>-74.054243999999997</v>
      </c>
    </row>
    <row r="209" spans="1:28" x14ac:dyDescent="0.25">
      <c r="A209">
        <v>7194860925</v>
      </c>
      <c r="B209">
        <v>10</v>
      </c>
      <c r="C209" t="s">
        <v>16</v>
      </c>
      <c r="D209">
        <v>4.6290779999999998</v>
      </c>
      <c r="E209">
        <v>-74.089794999999995</v>
      </c>
      <c r="F209" s="1">
        <f t="shared" si="24"/>
        <v>10</v>
      </c>
      <c r="G209">
        <v>7194860925</v>
      </c>
      <c r="H209">
        <v>4.6290779999999998</v>
      </c>
      <c r="I209">
        <v>7194860925</v>
      </c>
      <c r="J209">
        <v>-74.089794999999995</v>
      </c>
      <c r="L209">
        <v>208</v>
      </c>
      <c r="M209">
        <v>7194815861</v>
      </c>
      <c r="N209">
        <f t="shared" si="21"/>
        <v>0</v>
      </c>
      <c r="O209">
        <f t="shared" si="22"/>
        <v>49</v>
      </c>
      <c r="P209">
        <f t="shared" si="23"/>
        <v>0</v>
      </c>
      <c r="Q209">
        <f t="shared" si="25"/>
        <v>49</v>
      </c>
      <c r="R209" s="2">
        <f t="shared" si="26"/>
        <v>4.6692640000000001</v>
      </c>
      <c r="S209" s="2">
        <f t="shared" si="27"/>
        <v>-74.063890000000001</v>
      </c>
      <c r="U209">
        <v>208</v>
      </c>
      <c r="V209">
        <v>7194815861</v>
      </c>
      <c r="W209">
        <v>0</v>
      </c>
      <c r="X209">
        <v>49</v>
      </c>
      <c r="Y209">
        <v>0</v>
      </c>
      <c r="Z209">
        <v>49</v>
      </c>
      <c r="AA209" s="2">
        <v>4.6692640000000001</v>
      </c>
      <c r="AB209" s="2">
        <v>-74.063890000000001</v>
      </c>
    </row>
    <row r="210" spans="1:28" x14ac:dyDescent="0.25">
      <c r="A210">
        <v>7194862671</v>
      </c>
      <c r="B210">
        <v>145</v>
      </c>
      <c r="C210" t="s">
        <v>16</v>
      </c>
      <c r="D210">
        <v>4.6292799999999996</v>
      </c>
      <c r="E210">
        <v>-74.105988999999994</v>
      </c>
      <c r="F210" s="1">
        <f t="shared" si="24"/>
        <v>171</v>
      </c>
      <c r="G210">
        <v>7194862671</v>
      </c>
      <c r="H210">
        <v>4.6292799999999996</v>
      </c>
      <c r="I210">
        <v>7194862671</v>
      </c>
      <c r="J210">
        <v>-74.105988999999994</v>
      </c>
      <c r="L210">
        <v>209</v>
      </c>
      <c r="M210">
        <v>7194860268</v>
      </c>
      <c r="N210">
        <f t="shared" si="21"/>
        <v>0</v>
      </c>
      <c r="O210">
        <f t="shared" si="22"/>
        <v>114</v>
      </c>
      <c r="P210">
        <f t="shared" si="23"/>
        <v>0</v>
      </c>
      <c r="Q210">
        <f t="shared" si="25"/>
        <v>114</v>
      </c>
      <c r="R210" s="2">
        <f t="shared" si="26"/>
        <v>4.6697329999999999</v>
      </c>
      <c r="S210" s="2">
        <f t="shared" si="27"/>
        <v>-74.056324000000004</v>
      </c>
      <c r="U210">
        <v>209</v>
      </c>
      <c r="V210">
        <v>7194860268</v>
      </c>
      <c r="W210">
        <v>0</v>
      </c>
      <c r="X210">
        <v>114</v>
      </c>
      <c r="Y210">
        <v>0</v>
      </c>
      <c r="Z210">
        <v>114</v>
      </c>
      <c r="AA210" s="2">
        <v>4.6697329999999999</v>
      </c>
      <c r="AB210" s="2">
        <v>-74.056324000000004</v>
      </c>
    </row>
    <row r="211" spans="1:28" x14ac:dyDescent="0.25">
      <c r="A211">
        <v>7194840804</v>
      </c>
      <c r="B211">
        <v>59</v>
      </c>
      <c r="C211" t="s">
        <v>16</v>
      </c>
      <c r="D211">
        <v>4.6299219999999996</v>
      </c>
      <c r="E211">
        <v>-74.112145999999996</v>
      </c>
      <c r="F211" s="1">
        <f t="shared" si="24"/>
        <v>60</v>
      </c>
      <c r="G211">
        <v>7194840804</v>
      </c>
      <c r="H211">
        <v>4.6299219999999996</v>
      </c>
      <c r="I211">
        <v>7194840804</v>
      </c>
      <c r="J211">
        <v>-74.112145999999996</v>
      </c>
      <c r="L211">
        <v>210</v>
      </c>
      <c r="M211">
        <v>7194869925</v>
      </c>
      <c r="N211">
        <f t="shared" si="21"/>
        <v>0</v>
      </c>
      <c r="O211">
        <f t="shared" si="22"/>
        <v>148</v>
      </c>
      <c r="P211">
        <f t="shared" si="23"/>
        <v>0</v>
      </c>
      <c r="Q211">
        <f t="shared" si="25"/>
        <v>148</v>
      </c>
      <c r="R211" s="2">
        <f t="shared" si="26"/>
        <v>4.6703450000000002</v>
      </c>
      <c r="S211" s="2">
        <f t="shared" si="27"/>
        <v>-74.084894000000006</v>
      </c>
      <c r="U211">
        <v>210</v>
      </c>
      <c r="V211">
        <v>7194869925</v>
      </c>
      <c r="W211">
        <v>0</v>
      </c>
      <c r="X211">
        <v>148</v>
      </c>
      <c r="Y211">
        <v>0</v>
      </c>
      <c r="Z211">
        <v>148</v>
      </c>
      <c r="AA211" s="2">
        <v>4.6703450000000002</v>
      </c>
      <c r="AB211" s="2">
        <v>-74.084894000000006</v>
      </c>
    </row>
    <row r="212" spans="1:28" x14ac:dyDescent="0.25">
      <c r="A212">
        <v>7194869122</v>
      </c>
      <c r="B212">
        <v>12</v>
      </c>
      <c r="C212" t="s">
        <v>16</v>
      </c>
      <c r="D212">
        <v>4.629937</v>
      </c>
      <c r="E212">
        <v>-74.128376000000003</v>
      </c>
      <c r="F212" s="1">
        <f t="shared" si="24"/>
        <v>12</v>
      </c>
      <c r="G212">
        <v>7194869122</v>
      </c>
      <c r="H212">
        <v>4.629937</v>
      </c>
      <c r="I212">
        <v>7194869122</v>
      </c>
      <c r="J212">
        <v>-74.128376000000003</v>
      </c>
      <c r="L212">
        <v>211</v>
      </c>
      <c r="M212">
        <v>7194864908</v>
      </c>
      <c r="N212">
        <f t="shared" si="21"/>
        <v>0</v>
      </c>
      <c r="O212">
        <f t="shared" si="22"/>
        <v>21</v>
      </c>
      <c r="P212">
        <f t="shared" si="23"/>
        <v>0</v>
      </c>
      <c r="Q212">
        <f t="shared" si="25"/>
        <v>21</v>
      </c>
      <c r="R212" s="2">
        <f t="shared" si="26"/>
        <v>4.6743290000000002</v>
      </c>
      <c r="S212" s="2">
        <f t="shared" si="27"/>
        <v>-74.070690999999997</v>
      </c>
      <c r="U212">
        <v>211</v>
      </c>
      <c r="V212">
        <v>7194864908</v>
      </c>
      <c r="W212">
        <v>0</v>
      </c>
      <c r="X212">
        <v>21</v>
      </c>
      <c r="Y212">
        <v>0</v>
      </c>
      <c r="Z212">
        <v>21</v>
      </c>
      <c r="AA212" s="2">
        <v>4.6743290000000002</v>
      </c>
      <c r="AB212" s="2">
        <v>-74.070690999999997</v>
      </c>
    </row>
    <row r="213" spans="1:28" x14ac:dyDescent="0.25">
      <c r="A213">
        <v>7194866873</v>
      </c>
      <c r="B213">
        <v>1033</v>
      </c>
      <c r="C213" t="s">
        <v>16</v>
      </c>
      <c r="D213">
        <v>4.6301019999999999</v>
      </c>
      <c r="E213">
        <v>-74.081688999999997</v>
      </c>
      <c r="F213" s="1">
        <f t="shared" si="24"/>
        <v>1033</v>
      </c>
      <c r="G213">
        <v>7194866873</v>
      </c>
      <c r="H213">
        <v>4.6301019999999999</v>
      </c>
      <c r="I213">
        <v>7194866873</v>
      </c>
      <c r="J213">
        <v>-74.081688999999997</v>
      </c>
      <c r="L213">
        <v>212</v>
      </c>
      <c r="M213">
        <v>7194843286</v>
      </c>
      <c r="N213">
        <f t="shared" si="21"/>
        <v>0</v>
      </c>
      <c r="O213">
        <f t="shared" si="22"/>
        <v>250</v>
      </c>
      <c r="P213">
        <f t="shared" si="23"/>
        <v>0</v>
      </c>
      <c r="Q213">
        <f t="shared" si="25"/>
        <v>250</v>
      </c>
      <c r="R213" s="2">
        <f t="shared" si="26"/>
        <v>4.6763450000000004</v>
      </c>
      <c r="S213" s="2">
        <f t="shared" si="27"/>
        <v>-74.061701999999997</v>
      </c>
      <c r="U213">
        <v>212</v>
      </c>
      <c r="V213">
        <v>7194843286</v>
      </c>
      <c r="W213">
        <v>0</v>
      </c>
      <c r="X213">
        <v>250</v>
      </c>
      <c r="Y213">
        <v>0</v>
      </c>
      <c r="Z213">
        <v>250</v>
      </c>
      <c r="AA213" s="2">
        <v>4.6763450000000004</v>
      </c>
      <c r="AB213" s="2">
        <v>-74.061701999999997</v>
      </c>
    </row>
    <row r="214" spans="1:28" x14ac:dyDescent="0.25">
      <c r="A214">
        <v>7194865698</v>
      </c>
      <c r="B214">
        <v>269</v>
      </c>
      <c r="C214" t="s">
        <v>16</v>
      </c>
      <c r="D214">
        <v>4.6304800000000004</v>
      </c>
      <c r="E214">
        <v>-74.092879999999994</v>
      </c>
      <c r="F214" s="1">
        <f t="shared" si="24"/>
        <v>285</v>
      </c>
      <c r="G214">
        <v>7194865698</v>
      </c>
      <c r="H214">
        <v>4.6304800000000004</v>
      </c>
      <c r="I214">
        <v>7194865698</v>
      </c>
      <c r="J214">
        <v>-74.092879999999994</v>
      </c>
      <c r="L214">
        <v>213</v>
      </c>
      <c r="M214">
        <v>7194866813</v>
      </c>
      <c r="N214">
        <f t="shared" si="21"/>
        <v>0</v>
      </c>
      <c r="O214">
        <f t="shared" si="22"/>
        <v>7</v>
      </c>
      <c r="P214">
        <f t="shared" si="23"/>
        <v>0</v>
      </c>
      <c r="Q214">
        <f t="shared" si="25"/>
        <v>7</v>
      </c>
      <c r="R214" s="2">
        <f t="shared" si="26"/>
        <v>4.6883720000000002</v>
      </c>
      <c r="S214" s="2">
        <f t="shared" si="27"/>
        <v>-74.041144000000003</v>
      </c>
      <c r="U214">
        <v>213</v>
      </c>
      <c r="V214">
        <v>7194866813</v>
      </c>
      <c r="W214">
        <v>0</v>
      </c>
      <c r="X214">
        <v>7</v>
      </c>
      <c r="Y214">
        <v>0</v>
      </c>
      <c r="Z214">
        <v>7</v>
      </c>
      <c r="AA214" s="2">
        <v>4.6883720000000002</v>
      </c>
      <c r="AB214" s="2">
        <v>-74.041144000000003</v>
      </c>
    </row>
    <row r="215" spans="1:28" x14ac:dyDescent="0.25">
      <c r="A215">
        <v>7194862025</v>
      </c>
      <c r="B215">
        <v>1</v>
      </c>
      <c r="C215" t="s">
        <v>16</v>
      </c>
      <c r="D215">
        <v>4.63089</v>
      </c>
      <c r="E215">
        <v>-74.064243000000005</v>
      </c>
      <c r="F215" s="1">
        <f t="shared" si="24"/>
        <v>15</v>
      </c>
      <c r="G215">
        <v>7194862025</v>
      </c>
      <c r="H215">
        <v>4.63089</v>
      </c>
      <c r="I215">
        <v>7194862025</v>
      </c>
      <c r="J215">
        <v>-74.064243000000005</v>
      </c>
      <c r="L215">
        <v>214</v>
      </c>
      <c r="M215">
        <v>7194831213</v>
      </c>
      <c r="N215">
        <f t="shared" si="21"/>
        <v>0</v>
      </c>
      <c r="O215">
        <f t="shared" si="22"/>
        <v>84</v>
      </c>
      <c r="P215">
        <f t="shared" si="23"/>
        <v>6</v>
      </c>
      <c r="Q215">
        <f t="shared" si="25"/>
        <v>90</v>
      </c>
      <c r="R215" s="2">
        <f t="shared" si="26"/>
        <v>4.6886400000000004</v>
      </c>
      <c r="S215" s="2">
        <f t="shared" si="27"/>
        <v>-74.048338000000001</v>
      </c>
      <c r="U215">
        <v>214</v>
      </c>
      <c r="V215">
        <v>7194831213</v>
      </c>
      <c r="W215">
        <v>0</v>
      </c>
      <c r="X215">
        <v>84</v>
      </c>
      <c r="Y215">
        <v>6</v>
      </c>
      <c r="Z215">
        <v>90</v>
      </c>
      <c r="AA215" s="2">
        <v>4.6886400000000004</v>
      </c>
      <c r="AB215" s="2">
        <v>-74.048338000000001</v>
      </c>
    </row>
    <row r="216" spans="1:28" x14ac:dyDescent="0.25">
      <c r="A216">
        <v>7194864183</v>
      </c>
      <c r="B216">
        <v>47</v>
      </c>
      <c r="C216" t="s">
        <v>16</v>
      </c>
      <c r="D216">
        <v>4.6310799999999999</v>
      </c>
      <c r="E216">
        <v>-74.092651000000004</v>
      </c>
      <c r="F216" s="1">
        <f t="shared" si="24"/>
        <v>55</v>
      </c>
      <c r="G216">
        <v>7194864183</v>
      </c>
      <c r="H216">
        <v>4.6310799999999999</v>
      </c>
      <c r="I216">
        <v>7194864183</v>
      </c>
      <c r="J216">
        <v>-74.092651000000004</v>
      </c>
      <c r="L216">
        <v>215</v>
      </c>
      <c r="M216">
        <v>7194868671</v>
      </c>
      <c r="N216">
        <f t="shared" si="21"/>
        <v>0</v>
      </c>
      <c r="O216">
        <f t="shared" si="22"/>
        <v>1130</v>
      </c>
      <c r="P216">
        <f t="shared" si="23"/>
        <v>0</v>
      </c>
      <c r="Q216">
        <f t="shared" si="25"/>
        <v>1130</v>
      </c>
      <c r="R216" s="2">
        <f t="shared" si="26"/>
        <v>4.6888880000000004</v>
      </c>
      <c r="S216" s="2">
        <f t="shared" si="27"/>
        <v>-74.129417000000004</v>
      </c>
      <c r="U216">
        <v>215</v>
      </c>
      <c r="V216">
        <v>7194868671</v>
      </c>
      <c r="W216">
        <v>0</v>
      </c>
      <c r="X216">
        <v>1130</v>
      </c>
      <c r="Y216">
        <v>0</v>
      </c>
      <c r="Z216">
        <v>1130</v>
      </c>
      <c r="AA216" s="2">
        <v>4.6888880000000004</v>
      </c>
      <c r="AB216" s="2">
        <v>-74.129417000000004</v>
      </c>
    </row>
    <row r="217" spans="1:28" x14ac:dyDescent="0.25">
      <c r="A217">
        <v>7194856297</v>
      </c>
      <c r="B217">
        <v>726</v>
      </c>
      <c r="C217" t="s">
        <v>16</v>
      </c>
      <c r="D217">
        <v>4.6314650000000004</v>
      </c>
      <c r="E217">
        <v>-74.155158999999998</v>
      </c>
      <c r="F217" s="1">
        <f t="shared" si="24"/>
        <v>1079</v>
      </c>
      <c r="G217">
        <v>7194856297</v>
      </c>
      <c r="H217">
        <v>4.6314650000000004</v>
      </c>
      <c r="I217">
        <v>7194856297</v>
      </c>
      <c r="J217">
        <v>-74.155158999999998</v>
      </c>
      <c r="L217">
        <v>216</v>
      </c>
      <c r="M217">
        <v>7194806195</v>
      </c>
      <c r="N217">
        <f t="shared" si="21"/>
        <v>0</v>
      </c>
      <c r="O217">
        <f t="shared" si="22"/>
        <v>695</v>
      </c>
      <c r="P217">
        <f t="shared" si="23"/>
        <v>0</v>
      </c>
      <c r="Q217">
        <f t="shared" si="25"/>
        <v>695</v>
      </c>
      <c r="R217" s="2">
        <f t="shared" si="26"/>
        <v>4.689095</v>
      </c>
      <c r="S217" s="2">
        <f t="shared" si="27"/>
        <v>-74.131162000000003</v>
      </c>
      <c r="U217">
        <v>216</v>
      </c>
      <c r="V217">
        <v>7194806195</v>
      </c>
      <c r="W217">
        <v>0</v>
      </c>
      <c r="X217">
        <v>695</v>
      </c>
      <c r="Y217">
        <v>0</v>
      </c>
      <c r="Z217">
        <v>695</v>
      </c>
      <c r="AA217" s="2">
        <v>4.689095</v>
      </c>
      <c r="AB217" s="2">
        <v>-74.131162000000003</v>
      </c>
    </row>
    <row r="218" spans="1:28" x14ac:dyDescent="0.25">
      <c r="A218">
        <v>7194862665</v>
      </c>
      <c r="B218">
        <v>168</v>
      </c>
      <c r="C218" t="s">
        <v>16</v>
      </c>
      <c r="D218">
        <v>4.6331030000000002</v>
      </c>
      <c r="E218">
        <v>-74.156147000000004</v>
      </c>
      <c r="F218" s="1">
        <f t="shared" si="24"/>
        <v>203</v>
      </c>
      <c r="G218">
        <v>7194862665</v>
      </c>
      <c r="H218">
        <v>4.6331030000000002</v>
      </c>
      <c r="I218">
        <v>7194862665</v>
      </c>
      <c r="J218">
        <v>-74.156147000000004</v>
      </c>
      <c r="L218">
        <v>217</v>
      </c>
      <c r="M218">
        <v>7194865304</v>
      </c>
      <c r="N218">
        <f t="shared" si="21"/>
        <v>0</v>
      </c>
      <c r="O218">
        <f t="shared" si="22"/>
        <v>3</v>
      </c>
      <c r="P218">
        <f t="shared" si="23"/>
        <v>0</v>
      </c>
      <c r="Q218">
        <f t="shared" si="25"/>
        <v>3</v>
      </c>
      <c r="R218" s="2">
        <f t="shared" si="26"/>
        <v>4.6892630000000004</v>
      </c>
      <c r="S218" s="2">
        <f t="shared" si="27"/>
        <v>-74.128377</v>
      </c>
      <c r="U218">
        <v>217</v>
      </c>
      <c r="V218">
        <v>7194865304</v>
      </c>
      <c r="W218">
        <v>0</v>
      </c>
      <c r="X218">
        <v>3</v>
      </c>
      <c r="Y218">
        <v>0</v>
      </c>
      <c r="Z218">
        <v>3</v>
      </c>
      <c r="AA218" s="2">
        <v>4.6892630000000004</v>
      </c>
      <c r="AB218" s="2">
        <v>-74.128377</v>
      </c>
    </row>
    <row r="219" spans="1:28" x14ac:dyDescent="0.25">
      <c r="A219">
        <v>7194802793</v>
      </c>
      <c r="B219">
        <v>170</v>
      </c>
      <c r="C219" t="s">
        <v>16</v>
      </c>
      <c r="D219">
        <v>4.6333570000000002</v>
      </c>
      <c r="E219">
        <v>-74.117958999999999</v>
      </c>
      <c r="F219" s="1">
        <f t="shared" si="24"/>
        <v>171</v>
      </c>
      <c r="G219">
        <v>7194802793</v>
      </c>
      <c r="H219">
        <v>4.6333570000000002</v>
      </c>
      <c r="I219">
        <v>7194802793</v>
      </c>
      <c r="J219">
        <v>-74.117958999999999</v>
      </c>
      <c r="L219">
        <v>218</v>
      </c>
      <c r="M219">
        <v>7194858455</v>
      </c>
      <c r="N219">
        <f t="shared" si="21"/>
        <v>0</v>
      </c>
      <c r="O219">
        <f t="shared" si="22"/>
        <v>14</v>
      </c>
      <c r="P219">
        <f t="shared" si="23"/>
        <v>0</v>
      </c>
      <c r="Q219">
        <f t="shared" si="25"/>
        <v>14</v>
      </c>
      <c r="R219" s="2">
        <f t="shared" si="26"/>
        <v>4.6905859999999997</v>
      </c>
      <c r="S219" s="2">
        <f t="shared" si="27"/>
        <v>-74.065459000000004</v>
      </c>
      <c r="U219">
        <v>218</v>
      </c>
      <c r="V219">
        <v>7194858455</v>
      </c>
      <c r="W219">
        <v>0</v>
      </c>
      <c r="X219">
        <v>14</v>
      </c>
      <c r="Y219">
        <v>0</v>
      </c>
      <c r="Z219">
        <v>14</v>
      </c>
      <c r="AA219" s="2">
        <v>4.6905859999999997</v>
      </c>
      <c r="AB219" s="2">
        <v>-74.065459000000004</v>
      </c>
    </row>
    <row r="220" spans="1:28" x14ac:dyDescent="0.25">
      <c r="A220">
        <v>7194822354</v>
      </c>
      <c r="B220">
        <v>102</v>
      </c>
      <c r="C220" t="s">
        <v>16</v>
      </c>
      <c r="D220">
        <v>4.6354689999999996</v>
      </c>
      <c r="E220">
        <v>-74.118594999999999</v>
      </c>
      <c r="F220" s="1">
        <f t="shared" si="24"/>
        <v>102</v>
      </c>
      <c r="G220">
        <v>7194822354</v>
      </c>
      <c r="H220">
        <v>4.6354689999999996</v>
      </c>
      <c r="I220">
        <v>7194822354</v>
      </c>
      <c r="J220">
        <v>-74.118594999999999</v>
      </c>
      <c r="L220">
        <v>219</v>
      </c>
      <c r="M220">
        <v>7194868405</v>
      </c>
      <c r="N220">
        <f t="shared" si="21"/>
        <v>0</v>
      </c>
      <c r="O220">
        <f t="shared" si="22"/>
        <v>8</v>
      </c>
      <c r="P220">
        <f t="shared" si="23"/>
        <v>0</v>
      </c>
      <c r="Q220">
        <f t="shared" si="25"/>
        <v>8</v>
      </c>
      <c r="R220" s="2">
        <f t="shared" si="26"/>
        <v>4.6961789999999999</v>
      </c>
      <c r="S220" s="2">
        <f t="shared" si="27"/>
        <v>-74.032945999999995</v>
      </c>
      <c r="U220">
        <v>219</v>
      </c>
      <c r="V220">
        <v>7194868405</v>
      </c>
      <c r="W220">
        <v>0</v>
      </c>
      <c r="X220">
        <v>8</v>
      </c>
      <c r="Y220">
        <v>0</v>
      </c>
      <c r="Z220">
        <v>8</v>
      </c>
      <c r="AA220" s="2">
        <v>4.6961789999999999</v>
      </c>
      <c r="AB220" s="2">
        <v>-74.032945999999995</v>
      </c>
    </row>
    <row r="221" spans="1:28" x14ac:dyDescent="0.25">
      <c r="A221">
        <v>7194816142</v>
      </c>
      <c r="B221">
        <v>28</v>
      </c>
      <c r="C221" t="s">
        <v>16</v>
      </c>
      <c r="D221">
        <v>4.6366180000000004</v>
      </c>
      <c r="E221">
        <v>-74.065062999999995</v>
      </c>
      <c r="F221" s="1">
        <f t="shared" si="24"/>
        <v>87</v>
      </c>
      <c r="G221">
        <v>7194816142</v>
      </c>
      <c r="H221">
        <v>4.6366180000000004</v>
      </c>
      <c r="I221">
        <v>7194816142</v>
      </c>
      <c r="J221">
        <v>-74.065062999999995</v>
      </c>
      <c r="L221">
        <v>220</v>
      </c>
      <c r="M221">
        <v>7194845615</v>
      </c>
      <c r="N221">
        <f t="shared" si="21"/>
        <v>0</v>
      </c>
      <c r="O221">
        <f t="shared" si="22"/>
        <v>3</v>
      </c>
      <c r="P221">
        <f t="shared" si="23"/>
        <v>0</v>
      </c>
      <c r="Q221">
        <f t="shared" si="25"/>
        <v>3</v>
      </c>
      <c r="R221" s="2">
        <f t="shared" si="26"/>
        <v>4.6990439999999998</v>
      </c>
      <c r="S221" s="2">
        <f t="shared" si="27"/>
        <v>-74.140962999999999</v>
      </c>
      <c r="U221">
        <v>220</v>
      </c>
      <c r="V221">
        <v>7194845615</v>
      </c>
      <c r="W221">
        <v>0</v>
      </c>
      <c r="X221">
        <v>3</v>
      </c>
      <c r="Y221">
        <v>0</v>
      </c>
      <c r="Z221">
        <v>3</v>
      </c>
      <c r="AA221" s="2">
        <v>4.6990439999999998</v>
      </c>
      <c r="AB221" s="2">
        <v>-74.140962999999999</v>
      </c>
    </row>
    <row r="222" spans="1:28" x14ac:dyDescent="0.25">
      <c r="A222">
        <v>7194867276</v>
      </c>
      <c r="B222">
        <v>96</v>
      </c>
      <c r="C222" t="s">
        <v>16</v>
      </c>
      <c r="D222">
        <v>4.6367029999999998</v>
      </c>
      <c r="E222">
        <v>-74.115410999999995</v>
      </c>
      <c r="F222" s="1">
        <f t="shared" si="24"/>
        <v>96</v>
      </c>
      <c r="G222">
        <v>7194867276</v>
      </c>
      <c r="H222">
        <v>4.6367029999999998</v>
      </c>
      <c r="I222">
        <v>7194867276</v>
      </c>
      <c r="J222">
        <v>-74.115410999999995</v>
      </c>
      <c r="L222">
        <v>221</v>
      </c>
      <c r="M222">
        <v>7194840368</v>
      </c>
      <c r="N222">
        <f t="shared" si="21"/>
        <v>0</v>
      </c>
      <c r="O222">
        <f t="shared" si="22"/>
        <v>586</v>
      </c>
      <c r="P222">
        <f t="shared" si="23"/>
        <v>0</v>
      </c>
      <c r="Q222">
        <f t="shared" si="25"/>
        <v>586</v>
      </c>
      <c r="R222" s="2">
        <f t="shared" si="26"/>
        <v>4.7049609999999999</v>
      </c>
      <c r="S222" s="2">
        <f t="shared" si="27"/>
        <v>-74.043599999999998</v>
      </c>
      <c r="U222">
        <v>221</v>
      </c>
      <c r="V222">
        <v>7194840368</v>
      </c>
      <c r="W222">
        <v>0</v>
      </c>
      <c r="X222">
        <v>586</v>
      </c>
      <c r="Y222">
        <v>0</v>
      </c>
      <c r="Z222">
        <v>586</v>
      </c>
      <c r="AA222" s="2">
        <v>4.7049609999999999</v>
      </c>
      <c r="AB222" s="2">
        <v>-74.043599999999998</v>
      </c>
    </row>
    <row r="223" spans="1:28" x14ac:dyDescent="0.25">
      <c r="A223">
        <v>7194869095</v>
      </c>
      <c r="B223">
        <v>71</v>
      </c>
      <c r="C223" t="s">
        <v>16</v>
      </c>
      <c r="D223">
        <v>4.6385800000000001</v>
      </c>
      <c r="E223">
        <v>-74.119645000000006</v>
      </c>
      <c r="F223" s="1">
        <f t="shared" si="24"/>
        <v>88</v>
      </c>
      <c r="G223">
        <v>7194869095</v>
      </c>
      <c r="H223">
        <v>4.6385800000000001</v>
      </c>
      <c r="I223">
        <v>7194869095</v>
      </c>
      <c r="J223">
        <v>-74.119645000000006</v>
      </c>
      <c r="L223">
        <v>222</v>
      </c>
      <c r="M223">
        <v>7194858393</v>
      </c>
      <c r="N223">
        <f t="shared" si="21"/>
        <v>0</v>
      </c>
      <c r="O223">
        <f t="shared" si="22"/>
        <v>79</v>
      </c>
      <c r="P223">
        <f t="shared" si="23"/>
        <v>0</v>
      </c>
      <c r="Q223">
        <f t="shared" si="25"/>
        <v>79</v>
      </c>
      <c r="R223" s="2">
        <f t="shared" si="26"/>
        <v>4.7086629999999996</v>
      </c>
      <c r="S223" s="2">
        <f t="shared" si="27"/>
        <v>-74.041647999999995</v>
      </c>
      <c r="U223">
        <v>222</v>
      </c>
      <c r="V223">
        <v>7194858393</v>
      </c>
      <c r="W223">
        <v>0</v>
      </c>
      <c r="X223">
        <v>79</v>
      </c>
      <c r="Y223">
        <v>0</v>
      </c>
      <c r="Z223">
        <v>79</v>
      </c>
      <c r="AA223" s="2">
        <v>4.7086629999999996</v>
      </c>
      <c r="AB223" s="2">
        <v>-74.041647999999995</v>
      </c>
    </row>
    <row r="224" spans="1:28" x14ac:dyDescent="0.25">
      <c r="A224">
        <v>7194822919</v>
      </c>
      <c r="B224">
        <v>34</v>
      </c>
      <c r="C224" t="s">
        <v>16</v>
      </c>
      <c r="D224">
        <v>4.6410039999999997</v>
      </c>
      <c r="E224">
        <v>-74.117482999999993</v>
      </c>
      <c r="F224" s="1">
        <f t="shared" si="24"/>
        <v>34</v>
      </c>
      <c r="G224">
        <v>7194822919</v>
      </c>
      <c r="H224">
        <v>4.6410039999999997</v>
      </c>
      <c r="I224">
        <v>7194822919</v>
      </c>
      <c r="J224">
        <v>-74.117482999999993</v>
      </c>
      <c r="L224">
        <v>223</v>
      </c>
      <c r="M224">
        <v>7194859757</v>
      </c>
      <c r="N224">
        <f t="shared" si="21"/>
        <v>0</v>
      </c>
      <c r="O224">
        <f t="shared" si="22"/>
        <v>312</v>
      </c>
      <c r="P224">
        <f t="shared" si="23"/>
        <v>0</v>
      </c>
      <c r="Q224">
        <f t="shared" si="25"/>
        <v>312</v>
      </c>
      <c r="R224" s="2">
        <f t="shared" si="26"/>
        <v>4.7113240000000003</v>
      </c>
      <c r="S224" s="2">
        <f t="shared" si="27"/>
        <v>-74.032477</v>
      </c>
      <c r="U224">
        <v>223</v>
      </c>
      <c r="V224">
        <v>7194859757</v>
      </c>
      <c r="W224">
        <v>0</v>
      </c>
      <c r="X224">
        <v>312</v>
      </c>
      <c r="Y224">
        <v>0</v>
      </c>
      <c r="Z224">
        <v>312</v>
      </c>
      <c r="AA224" s="2">
        <v>4.7113240000000003</v>
      </c>
      <c r="AB224" s="2">
        <v>-74.032477</v>
      </c>
    </row>
    <row r="225" spans="1:28" x14ac:dyDescent="0.25">
      <c r="A225">
        <v>7194838823</v>
      </c>
      <c r="B225">
        <v>39</v>
      </c>
      <c r="C225" t="s">
        <v>16</v>
      </c>
      <c r="D225">
        <v>4.6410819999999999</v>
      </c>
      <c r="E225">
        <v>-74.123429000000002</v>
      </c>
      <c r="F225" s="1">
        <f t="shared" si="24"/>
        <v>44</v>
      </c>
      <c r="G225">
        <v>7194838823</v>
      </c>
      <c r="H225">
        <v>4.6410819999999999</v>
      </c>
      <c r="I225">
        <v>7194838823</v>
      </c>
      <c r="J225">
        <v>-74.123429000000002</v>
      </c>
      <c r="L225">
        <v>224</v>
      </c>
      <c r="M225">
        <v>7194865020</v>
      </c>
      <c r="N225">
        <f t="shared" si="21"/>
        <v>0</v>
      </c>
      <c r="O225">
        <f t="shared" si="22"/>
        <v>201</v>
      </c>
      <c r="P225">
        <f t="shared" si="23"/>
        <v>0</v>
      </c>
      <c r="Q225">
        <f t="shared" si="25"/>
        <v>201</v>
      </c>
      <c r="R225" s="2">
        <f t="shared" si="26"/>
        <v>4.7117649999999998</v>
      </c>
      <c r="S225" s="2">
        <f t="shared" si="27"/>
        <v>-74.054941999999997</v>
      </c>
      <c r="U225">
        <v>224</v>
      </c>
      <c r="V225">
        <v>7194865020</v>
      </c>
      <c r="W225">
        <v>0</v>
      </c>
      <c r="X225">
        <v>201</v>
      </c>
      <c r="Y225">
        <v>0</v>
      </c>
      <c r="Z225">
        <v>201</v>
      </c>
      <c r="AA225" s="2">
        <v>4.7117649999999998</v>
      </c>
      <c r="AB225" s="2">
        <v>-74.054941999999997</v>
      </c>
    </row>
    <row r="226" spans="1:28" x14ac:dyDescent="0.25">
      <c r="A226">
        <v>7194868925</v>
      </c>
      <c r="B226">
        <v>271</v>
      </c>
      <c r="C226" t="s">
        <v>16</v>
      </c>
      <c r="D226">
        <v>4.6410830000000001</v>
      </c>
      <c r="E226">
        <v>-74.114226000000002</v>
      </c>
      <c r="F226" s="1">
        <f t="shared" si="24"/>
        <v>273</v>
      </c>
      <c r="G226">
        <v>7194868925</v>
      </c>
      <c r="H226">
        <v>4.6410830000000001</v>
      </c>
      <c r="I226">
        <v>7194868925</v>
      </c>
      <c r="J226">
        <v>-74.114226000000002</v>
      </c>
      <c r="L226">
        <v>225</v>
      </c>
      <c r="M226">
        <v>7194867802</v>
      </c>
      <c r="N226">
        <f t="shared" si="21"/>
        <v>0</v>
      </c>
      <c r="O226">
        <f t="shared" si="22"/>
        <v>462</v>
      </c>
      <c r="P226">
        <f t="shared" si="23"/>
        <v>0</v>
      </c>
      <c r="Q226">
        <f t="shared" si="25"/>
        <v>462</v>
      </c>
      <c r="R226" s="2">
        <f t="shared" si="26"/>
        <v>4.7152190000000003</v>
      </c>
      <c r="S226" s="2">
        <f t="shared" si="27"/>
        <v>-74.216830000000002</v>
      </c>
      <c r="U226">
        <v>225</v>
      </c>
      <c r="V226">
        <v>7194867802</v>
      </c>
      <c r="W226">
        <v>0</v>
      </c>
      <c r="X226">
        <v>462</v>
      </c>
      <c r="Y226">
        <v>0</v>
      </c>
      <c r="Z226">
        <v>462</v>
      </c>
      <c r="AA226" s="2">
        <v>4.7152190000000003</v>
      </c>
      <c r="AB226" s="2">
        <v>-74.216830000000002</v>
      </c>
    </row>
    <row r="227" spans="1:28" x14ac:dyDescent="0.25">
      <c r="A227">
        <v>7194815329</v>
      </c>
      <c r="B227">
        <v>4</v>
      </c>
      <c r="C227" t="s">
        <v>16</v>
      </c>
      <c r="D227">
        <v>4.6435389999999996</v>
      </c>
      <c r="E227">
        <v>-74.115739000000005</v>
      </c>
      <c r="F227" s="1">
        <f t="shared" si="24"/>
        <v>19</v>
      </c>
      <c r="G227">
        <v>7194815329</v>
      </c>
      <c r="H227">
        <v>4.6435389999999996</v>
      </c>
      <c r="I227">
        <v>7194815329</v>
      </c>
      <c r="J227">
        <v>-74.115739000000005</v>
      </c>
      <c r="L227">
        <v>226</v>
      </c>
      <c r="M227">
        <v>7194865745</v>
      </c>
      <c r="N227">
        <f t="shared" si="21"/>
        <v>0</v>
      </c>
      <c r="O227">
        <f t="shared" si="22"/>
        <v>15</v>
      </c>
      <c r="P227">
        <f t="shared" si="23"/>
        <v>0</v>
      </c>
      <c r="Q227">
        <f t="shared" si="25"/>
        <v>15</v>
      </c>
      <c r="R227" s="2">
        <f t="shared" si="26"/>
        <v>4.7178550000000001</v>
      </c>
      <c r="S227" s="2">
        <f t="shared" si="27"/>
        <v>-74.029747</v>
      </c>
      <c r="U227">
        <v>226</v>
      </c>
      <c r="V227">
        <v>7194865745</v>
      </c>
      <c r="W227">
        <v>0</v>
      </c>
      <c r="X227">
        <v>15</v>
      </c>
      <c r="Y227">
        <v>0</v>
      </c>
      <c r="Z227">
        <v>15</v>
      </c>
      <c r="AA227" s="2">
        <v>4.7178550000000001</v>
      </c>
      <c r="AB227" s="2">
        <v>-74.029747</v>
      </c>
    </row>
    <row r="228" spans="1:28" x14ac:dyDescent="0.25">
      <c r="A228">
        <v>7194874166</v>
      </c>
      <c r="B228">
        <v>8</v>
      </c>
      <c r="C228" t="s">
        <v>16</v>
      </c>
      <c r="D228">
        <v>4.6438059999999997</v>
      </c>
      <c r="E228">
        <v>-74.069458999999995</v>
      </c>
      <c r="F228" s="1">
        <f t="shared" si="24"/>
        <v>18</v>
      </c>
      <c r="G228">
        <v>7194874166</v>
      </c>
      <c r="H228">
        <v>4.6438059999999997</v>
      </c>
      <c r="I228">
        <v>7194874166</v>
      </c>
      <c r="J228">
        <v>-74.069458999999995</v>
      </c>
      <c r="L228">
        <v>227</v>
      </c>
      <c r="M228">
        <v>7194841036</v>
      </c>
      <c r="N228">
        <f t="shared" si="21"/>
        <v>0</v>
      </c>
      <c r="O228">
        <f t="shared" si="22"/>
        <v>103</v>
      </c>
      <c r="P228">
        <f t="shared" si="23"/>
        <v>0</v>
      </c>
      <c r="Q228">
        <f t="shared" si="25"/>
        <v>103</v>
      </c>
      <c r="R228" s="2">
        <f t="shared" si="26"/>
        <v>4.7227079999999999</v>
      </c>
      <c r="S228" s="2">
        <f t="shared" si="27"/>
        <v>-74.195496000000006</v>
      </c>
      <c r="U228">
        <v>227</v>
      </c>
      <c r="V228">
        <v>7194841036</v>
      </c>
      <c r="W228">
        <v>0</v>
      </c>
      <c r="X228">
        <v>103</v>
      </c>
      <c r="Y228">
        <v>0</v>
      </c>
      <c r="Z228">
        <v>103</v>
      </c>
      <c r="AA228" s="2">
        <v>4.7227079999999999</v>
      </c>
      <c r="AB228" s="2">
        <v>-74.195496000000006</v>
      </c>
    </row>
    <row r="229" spans="1:28" x14ac:dyDescent="0.25">
      <c r="A229">
        <v>7194867305</v>
      </c>
      <c r="B229">
        <v>155</v>
      </c>
      <c r="C229" t="s">
        <v>16</v>
      </c>
      <c r="D229">
        <v>4.6451510000000003</v>
      </c>
      <c r="E229">
        <v>-74.099777000000003</v>
      </c>
      <c r="F229" s="1">
        <f t="shared" si="24"/>
        <v>155</v>
      </c>
      <c r="G229">
        <v>7194867305</v>
      </c>
      <c r="H229">
        <v>4.6451510000000003</v>
      </c>
      <c r="I229">
        <v>7194867305</v>
      </c>
      <c r="J229">
        <v>-74.099777000000003</v>
      </c>
      <c r="L229">
        <v>228</v>
      </c>
      <c r="M229">
        <v>7194867901</v>
      </c>
      <c r="N229">
        <f t="shared" si="21"/>
        <v>0</v>
      </c>
      <c r="O229">
        <f t="shared" si="22"/>
        <v>34</v>
      </c>
      <c r="P229">
        <f t="shared" si="23"/>
        <v>0</v>
      </c>
      <c r="Q229">
        <f t="shared" si="25"/>
        <v>34</v>
      </c>
      <c r="R229" s="2">
        <f t="shared" si="26"/>
        <v>4.7321489999999997</v>
      </c>
      <c r="S229" s="2">
        <f t="shared" si="27"/>
        <v>-74.040616</v>
      </c>
      <c r="U229">
        <v>228</v>
      </c>
      <c r="V229">
        <v>7194867901</v>
      </c>
      <c r="W229">
        <v>0</v>
      </c>
      <c r="X229">
        <v>34</v>
      </c>
      <c r="Y229">
        <v>0</v>
      </c>
      <c r="Z229">
        <v>34</v>
      </c>
      <c r="AA229" s="2">
        <v>4.7321489999999997</v>
      </c>
      <c r="AB229" s="2">
        <v>-74.040616</v>
      </c>
    </row>
    <row r="230" spans="1:28" x14ac:dyDescent="0.25">
      <c r="A230">
        <v>7194845772</v>
      </c>
      <c r="B230">
        <v>18</v>
      </c>
      <c r="C230" t="s">
        <v>16</v>
      </c>
      <c r="D230">
        <v>4.6459830000000002</v>
      </c>
      <c r="E230">
        <v>-74.060243999999997</v>
      </c>
      <c r="F230" s="1">
        <f t="shared" si="24"/>
        <v>20</v>
      </c>
      <c r="G230">
        <v>7194845772</v>
      </c>
      <c r="H230">
        <v>4.6459830000000002</v>
      </c>
      <c r="I230">
        <v>7194845772</v>
      </c>
      <c r="J230">
        <v>-74.060243999999997</v>
      </c>
      <c r="L230">
        <v>229</v>
      </c>
      <c r="M230">
        <v>7194820673</v>
      </c>
      <c r="N230">
        <f t="shared" si="21"/>
        <v>0</v>
      </c>
      <c r="O230">
        <f t="shared" si="22"/>
        <v>12</v>
      </c>
      <c r="P230">
        <f t="shared" si="23"/>
        <v>0</v>
      </c>
      <c r="Q230">
        <f t="shared" si="25"/>
        <v>12</v>
      </c>
      <c r="R230" s="2">
        <f t="shared" si="26"/>
        <v>4.7325010000000001</v>
      </c>
      <c r="S230" s="2">
        <f t="shared" si="27"/>
        <v>-74.065488999999999</v>
      </c>
      <c r="U230">
        <v>229</v>
      </c>
      <c r="V230">
        <v>7194820673</v>
      </c>
      <c r="W230">
        <v>0</v>
      </c>
      <c r="X230">
        <v>12</v>
      </c>
      <c r="Y230">
        <v>0</v>
      </c>
      <c r="Z230">
        <v>12</v>
      </c>
      <c r="AA230" s="2">
        <v>4.7325010000000001</v>
      </c>
      <c r="AB230" s="2">
        <v>-74.065488999999999</v>
      </c>
    </row>
    <row r="231" spans="1:28" x14ac:dyDescent="0.25">
      <c r="A231">
        <v>7194838571</v>
      </c>
      <c r="B231">
        <v>440</v>
      </c>
      <c r="C231" t="s">
        <v>16</v>
      </c>
      <c r="D231">
        <v>4.6471479999999996</v>
      </c>
      <c r="E231">
        <v>-74.105746999999994</v>
      </c>
      <c r="F231" s="1">
        <f t="shared" si="24"/>
        <v>558</v>
      </c>
      <c r="G231">
        <v>7194838571</v>
      </c>
      <c r="H231">
        <v>4.6471479999999996</v>
      </c>
      <c r="I231">
        <v>7194838571</v>
      </c>
      <c r="J231">
        <v>-74.105746999999994</v>
      </c>
      <c r="L231">
        <v>230</v>
      </c>
      <c r="M231">
        <v>7194837873</v>
      </c>
      <c r="N231">
        <f t="shared" si="21"/>
        <v>0</v>
      </c>
      <c r="O231">
        <f t="shared" si="22"/>
        <v>316</v>
      </c>
      <c r="P231">
        <f t="shared" si="23"/>
        <v>0</v>
      </c>
      <c r="Q231">
        <f t="shared" si="25"/>
        <v>316</v>
      </c>
      <c r="R231" s="2">
        <f t="shared" si="26"/>
        <v>4.7357110000000002</v>
      </c>
      <c r="S231" s="2">
        <f t="shared" si="27"/>
        <v>-74.270556999999997</v>
      </c>
      <c r="U231">
        <v>230</v>
      </c>
      <c r="V231">
        <v>7194837873</v>
      </c>
      <c r="W231">
        <v>0</v>
      </c>
      <c r="X231">
        <v>316</v>
      </c>
      <c r="Y231">
        <v>0</v>
      </c>
      <c r="Z231">
        <v>316</v>
      </c>
      <c r="AA231" s="2">
        <v>4.7357110000000002</v>
      </c>
      <c r="AB231" s="2">
        <v>-74.270556999999997</v>
      </c>
    </row>
    <row r="232" spans="1:28" x14ac:dyDescent="0.25">
      <c r="A232">
        <v>7194864049</v>
      </c>
      <c r="B232">
        <v>46</v>
      </c>
      <c r="C232" t="s">
        <v>16</v>
      </c>
      <c r="D232">
        <v>4.6488040000000002</v>
      </c>
      <c r="E232">
        <v>-74.056793999999996</v>
      </c>
      <c r="F232" s="1">
        <f t="shared" si="24"/>
        <v>46</v>
      </c>
      <c r="G232">
        <v>7194864049</v>
      </c>
      <c r="H232">
        <v>4.6488040000000002</v>
      </c>
      <c r="I232">
        <v>7194864049</v>
      </c>
      <c r="J232">
        <v>-74.056793999999996</v>
      </c>
      <c r="L232">
        <v>231</v>
      </c>
      <c r="M232">
        <v>7194816240</v>
      </c>
      <c r="N232">
        <f t="shared" si="21"/>
        <v>0</v>
      </c>
      <c r="O232">
        <f t="shared" si="22"/>
        <v>28</v>
      </c>
      <c r="P232">
        <f t="shared" si="23"/>
        <v>0</v>
      </c>
      <c r="Q232">
        <f t="shared" si="25"/>
        <v>28</v>
      </c>
      <c r="R232" s="2">
        <f t="shared" si="26"/>
        <v>4.74803</v>
      </c>
      <c r="S232" s="2">
        <f t="shared" si="27"/>
        <v>-74.162796</v>
      </c>
      <c r="U232">
        <v>231</v>
      </c>
      <c r="V232">
        <v>7194816240</v>
      </c>
      <c r="W232">
        <v>0</v>
      </c>
      <c r="X232">
        <v>28</v>
      </c>
      <c r="Y232">
        <v>0</v>
      </c>
      <c r="Z232">
        <v>28</v>
      </c>
      <c r="AA232" s="2">
        <v>4.74803</v>
      </c>
      <c r="AB232" s="2">
        <v>-74.162796</v>
      </c>
    </row>
    <row r="233" spans="1:28" x14ac:dyDescent="0.25">
      <c r="A233">
        <v>7194826177</v>
      </c>
      <c r="B233">
        <v>88</v>
      </c>
      <c r="C233" t="s">
        <v>16</v>
      </c>
      <c r="D233">
        <v>4.6502090000000003</v>
      </c>
      <c r="E233">
        <v>-74.122673000000006</v>
      </c>
      <c r="F233" s="1">
        <f t="shared" si="24"/>
        <v>113</v>
      </c>
      <c r="G233">
        <v>7194826177</v>
      </c>
      <c r="H233">
        <v>4.6502090000000003</v>
      </c>
      <c r="I233">
        <v>7194826177</v>
      </c>
      <c r="J233">
        <v>-74.122673000000006</v>
      </c>
      <c r="L233">
        <v>232</v>
      </c>
      <c r="M233">
        <v>7194865967</v>
      </c>
      <c r="N233">
        <f t="shared" si="21"/>
        <v>0</v>
      </c>
      <c r="O233">
        <f t="shared" si="22"/>
        <v>18</v>
      </c>
      <c r="P233">
        <f t="shared" si="23"/>
        <v>0</v>
      </c>
      <c r="Q233">
        <f t="shared" si="25"/>
        <v>18</v>
      </c>
      <c r="R233" s="2">
        <f t="shared" si="26"/>
        <v>4.7485499999999998</v>
      </c>
      <c r="S233" s="2">
        <f t="shared" si="27"/>
        <v>-74.043736999999993</v>
      </c>
      <c r="U233">
        <v>232</v>
      </c>
      <c r="V233">
        <v>7194865967</v>
      </c>
      <c r="W233">
        <v>0</v>
      </c>
      <c r="X233">
        <v>18</v>
      </c>
      <c r="Y233">
        <v>0</v>
      </c>
      <c r="Z233">
        <v>18</v>
      </c>
      <c r="AA233" s="2">
        <v>4.7485499999999998</v>
      </c>
      <c r="AB233" s="2">
        <v>-74.043736999999993</v>
      </c>
    </row>
    <row r="234" spans="1:28" x14ac:dyDescent="0.25">
      <c r="A234">
        <v>7194870304</v>
      </c>
      <c r="B234">
        <v>36</v>
      </c>
      <c r="C234" t="s">
        <v>16</v>
      </c>
      <c r="D234">
        <v>4.6515950000000004</v>
      </c>
      <c r="E234">
        <v>-74.106772000000007</v>
      </c>
      <c r="F234" s="1">
        <f t="shared" si="24"/>
        <v>80</v>
      </c>
      <c r="G234">
        <v>7194870304</v>
      </c>
      <c r="H234">
        <v>4.6515950000000004</v>
      </c>
      <c r="I234">
        <v>7194870304</v>
      </c>
      <c r="J234">
        <v>-74.106772000000007</v>
      </c>
      <c r="L234">
        <v>233</v>
      </c>
      <c r="M234">
        <v>7194868151</v>
      </c>
      <c r="N234">
        <f t="shared" si="21"/>
        <v>0</v>
      </c>
      <c r="O234">
        <f t="shared" si="22"/>
        <v>29</v>
      </c>
      <c r="P234">
        <f t="shared" si="23"/>
        <v>0</v>
      </c>
      <c r="Q234">
        <f t="shared" si="25"/>
        <v>29</v>
      </c>
      <c r="R234" s="2">
        <f t="shared" si="26"/>
        <v>4.7494779999999999</v>
      </c>
      <c r="S234" s="2">
        <f t="shared" si="27"/>
        <v>-74.038182000000006</v>
      </c>
      <c r="U234">
        <v>233</v>
      </c>
      <c r="V234">
        <v>7194868151</v>
      </c>
      <c r="W234">
        <v>0</v>
      </c>
      <c r="X234">
        <v>29</v>
      </c>
      <c r="Y234">
        <v>0</v>
      </c>
      <c r="Z234">
        <v>29</v>
      </c>
      <c r="AA234" s="2">
        <v>4.7494779999999999</v>
      </c>
      <c r="AB234" s="2">
        <v>-74.038182000000006</v>
      </c>
    </row>
    <row r="235" spans="1:28" x14ac:dyDescent="0.25">
      <c r="A235">
        <v>7194838136</v>
      </c>
      <c r="B235">
        <v>132</v>
      </c>
      <c r="C235" t="s">
        <v>16</v>
      </c>
      <c r="D235">
        <v>4.6515959999999996</v>
      </c>
      <c r="E235">
        <v>-74.106772000000007</v>
      </c>
      <c r="F235" s="1">
        <f t="shared" si="24"/>
        <v>132</v>
      </c>
      <c r="G235">
        <v>7194838136</v>
      </c>
      <c r="H235">
        <v>4.6515959999999996</v>
      </c>
      <c r="I235">
        <v>7194838136</v>
      </c>
      <c r="J235">
        <v>-74.106772000000007</v>
      </c>
      <c r="L235">
        <v>234</v>
      </c>
      <c r="M235">
        <v>7194855278</v>
      </c>
      <c r="N235">
        <f t="shared" si="21"/>
        <v>0</v>
      </c>
      <c r="O235">
        <f t="shared" si="22"/>
        <v>12</v>
      </c>
      <c r="P235">
        <f t="shared" si="23"/>
        <v>0</v>
      </c>
      <c r="Q235">
        <f t="shared" si="25"/>
        <v>12</v>
      </c>
      <c r="R235" s="2">
        <f t="shared" si="26"/>
        <v>4.7498659999999999</v>
      </c>
      <c r="S235" s="2">
        <f t="shared" si="27"/>
        <v>-74.145450999999994</v>
      </c>
      <c r="U235">
        <v>234</v>
      </c>
      <c r="V235">
        <v>7194855278</v>
      </c>
      <c r="W235">
        <v>0</v>
      </c>
      <c r="X235">
        <v>12</v>
      </c>
      <c r="Y235">
        <v>0</v>
      </c>
      <c r="Z235">
        <v>12</v>
      </c>
      <c r="AA235" s="2">
        <v>4.7498659999999999</v>
      </c>
      <c r="AB235" s="2">
        <v>-74.145450999999994</v>
      </c>
    </row>
    <row r="236" spans="1:28" x14ac:dyDescent="0.25">
      <c r="A236">
        <v>7194850316</v>
      </c>
      <c r="B236">
        <v>17</v>
      </c>
      <c r="C236" t="s">
        <v>16</v>
      </c>
      <c r="D236">
        <v>4.6525369999999997</v>
      </c>
      <c r="E236">
        <v>-74.109316000000007</v>
      </c>
      <c r="F236" s="1">
        <f t="shared" si="24"/>
        <v>33</v>
      </c>
      <c r="G236">
        <v>7194850316</v>
      </c>
      <c r="H236">
        <v>4.6525369999999997</v>
      </c>
      <c r="I236">
        <v>7194850316</v>
      </c>
      <c r="J236">
        <v>-74.109316000000007</v>
      </c>
      <c r="L236">
        <v>235</v>
      </c>
      <c r="M236">
        <v>7194824295</v>
      </c>
      <c r="N236">
        <f t="shared" si="21"/>
        <v>0</v>
      </c>
      <c r="O236">
        <f t="shared" si="22"/>
        <v>57</v>
      </c>
      <c r="P236">
        <f t="shared" si="23"/>
        <v>9</v>
      </c>
      <c r="Q236">
        <f t="shared" si="25"/>
        <v>66</v>
      </c>
      <c r="R236" s="2">
        <f t="shared" si="26"/>
        <v>4.7501499999999997</v>
      </c>
      <c r="S236" s="2">
        <f t="shared" si="27"/>
        <v>-74.065482000000003</v>
      </c>
      <c r="U236">
        <v>235</v>
      </c>
      <c r="V236">
        <v>7194824295</v>
      </c>
      <c r="W236">
        <v>0</v>
      </c>
      <c r="X236">
        <v>57</v>
      </c>
      <c r="Y236">
        <v>9</v>
      </c>
      <c r="Z236">
        <v>66</v>
      </c>
      <c r="AA236" s="2">
        <v>4.7501499999999997</v>
      </c>
      <c r="AB236" s="2">
        <v>-74.065482000000003</v>
      </c>
    </row>
    <row r="237" spans="1:28" x14ac:dyDescent="0.25">
      <c r="A237">
        <v>7194847518</v>
      </c>
      <c r="B237">
        <v>32</v>
      </c>
      <c r="C237" t="s">
        <v>16</v>
      </c>
      <c r="D237">
        <v>4.6528479999999997</v>
      </c>
      <c r="E237">
        <v>-74.101584000000003</v>
      </c>
      <c r="F237" s="1">
        <f t="shared" si="24"/>
        <v>85</v>
      </c>
      <c r="G237">
        <v>7194847518</v>
      </c>
      <c r="H237">
        <v>4.6528479999999997</v>
      </c>
      <c r="I237">
        <v>7194847518</v>
      </c>
      <c r="J237">
        <v>-74.101584000000003</v>
      </c>
      <c r="L237">
        <v>236</v>
      </c>
      <c r="M237">
        <v>7194867814</v>
      </c>
      <c r="N237">
        <f t="shared" si="21"/>
        <v>0</v>
      </c>
      <c r="O237">
        <f t="shared" si="22"/>
        <v>66</v>
      </c>
      <c r="P237">
        <f t="shared" si="23"/>
        <v>0</v>
      </c>
      <c r="Q237">
        <f t="shared" si="25"/>
        <v>66</v>
      </c>
      <c r="R237" s="2">
        <f t="shared" si="26"/>
        <v>4.7506029999999999</v>
      </c>
      <c r="S237" s="2">
        <f t="shared" si="27"/>
        <v>-74.044379000000006</v>
      </c>
      <c r="U237">
        <v>236</v>
      </c>
      <c r="V237">
        <v>7194867814</v>
      </c>
      <c r="W237">
        <v>0</v>
      </c>
      <c r="X237">
        <v>66</v>
      </c>
      <c r="Y237">
        <v>0</v>
      </c>
      <c r="Z237">
        <v>66</v>
      </c>
      <c r="AA237" s="2">
        <v>4.7506029999999999</v>
      </c>
      <c r="AB237" s="2">
        <v>-74.044379000000006</v>
      </c>
    </row>
    <row r="238" spans="1:28" x14ac:dyDescent="0.25">
      <c r="A238">
        <v>7194869932</v>
      </c>
      <c r="B238">
        <v>48</v>
      </c>
      <c r="C238" t="s">
        <v>16</v>
      </c>
      <c r="D238">
        <v>4.6535390000000003</v>
      </c>
      <c r="E238">
        <v>-74.054803000000007</v>
      </c>
      <c r="F238" s="1">
        <f t="shared" si="24"/>
        <v>48</v>
      </c>
      <c r="G238">
        <v>7194869932</v>
      </c>
      <c r="H238">
        <v>4.6535390000000003</v>
      </c>
      <c r="I238">
        <v>7194869932</v>
      </c>
      <c r="J238">
        <v>-74.054803000000007</v>
      </c>
      <c r="L238">
        <v>237</v>
      </c>
      <c r="M238">
        <v>7194831426</v>
      </c>
      <c r="N238">
        <f t="shared" si="21"/>
        <v>0</v>
      </c>
      <c r="O238">
        <f t="shared" si="22"/>
        <v>103</v>
      </c>
      <c r="P238">
        <f t="shared" si="23"/>
        <v>0</v>
      </c>
      <c r="Q238">
        <f t="shared" si="25"/>
        <v>103</v>
      </c>
      <c r="R238" s="2">
        <f t="shared" si="26"/>
        <v>4.7573309999999998</v>
      </c>
      <c r="S238" s="2">
        <f t="shared" si="27"/>
        <v>-74.137720999999999</v>
      </c>
      <c r="U238">
        <v>237</v>
      </c>
      <c r="V238">
        <v>7194831426</v>
      </c>
      <c r="W238">
        <v>0</v>
      </c>
      <c r="X238">
        <v>103</v>
      </c>
      <c r="Y238">
        <v>0</v>
      </c>
      <c r="Z238">
        <v>103</v>
      </c>
      <c r="AA238" s="2">
        <v>4.7573309999999998</v>
      </c>
      <c r="AB238" s="2">
        <v>-74.137720999999999</v>
      </c>
    </row>
    <row r="239" spans="1:28" x14ac:dyDescent="0.25">
      <c r="A239">
        <v>7194858461</v>
      </c>
      <c r="B239">
        <v>71</v>
      </c>
      <c r="C239" t="s">
        <v>16</v>
      </c>
      <c r="D239">
        <v>4.6540350000000004</v>
      </c>
      <c r="E239">
        <v>-74.043012000000004</v>
      </c>
      <c r="F239" s="1">
        <f t="shared" si="24"/>
        <v>109</v>
      </c>
      <c r="G239">
        <v>7194858461</v>
      </c>
      <c r="H239">
        <v>4.6540350000000004</v>
      </c>
      <c r="I239">
        <v>7194858461</v>
      </c>
      <c r="J239">
        <v>-74.043012000000004</v>
      </c>
      <c r="L239">
        <v>238</v>
      </c>
      <c r="M239">
        <v>7194866498</v>
      </c>
      <c r="N239">
        <f t="shared" si="21"/>
        <v>0</v>
      </c>
      <c r="O239">
        <f t="shared" si="22"/>
        <v>43</v>
      </c>
      <c r="P239">
        <f t="shared" si="23"/>
        <v>0</v>
      </c>
      <c r="Q239">
        <f t="shared" si="25"/>
        <v>43</v>
      </c>
      <c r="R239" s="2">
        <f t="shared" si="26"/>
        <v>4.7594339999999997</v>
      </c>
      <c r="S239" s="2">
        <f t="shared" si="27"/>
        <v>-74.151770999999997</v>
      </c>
      <c r="U239">
        <v>238</v>
      </c>
      <c r="V239">
        <v>7194866498</v>
      </c>
      <c r="W239">
        <v>0</v>
      </c>
      <c r="X239">
        <v>43</v>
      </c>
      <c r="Y239">
        <v>0</v>
      </c>
      <c r="Z239">
        <v>43</v>
      </c>
      <c r="AA239" s="2">
        <v>4.7594339999999997</v>
      </c>
      <c r="AB239" s="2">
        <v>-74.151770999999997</v>
      </c>
    </row>
    <row r="240" spans="1:28" x14ac:dyDescent="0.25">
      <c r="A240">
        <v>7194815397</v>
      </c>
      <c r="B240">
        <v>22</v>
      </c>
      <c r="C240" t="s">
        <v>16</v>
      </c>
      <c r="D240">
        <v>4.654363</v>
      </c>
      <c r="E240">
        <v>-74.055813000000001</v>
      </c>
      <c r="F240" s="1">
        <f t="shared" si="24"/>
        <v>22</v>
      </c>
      <c r="G240">
        <v>7194815397</v>
      </c>
      <c r="H240">
        <v>4.654363</v>
      </c>
      <c r="I240">
        <v>7194815397</v>
      </c>
      <c r="J240">
        <v>-74.055813000000001</v>
      </c>
      <c r="L240">
        <v>239</v>
      </c>
      <c r="M240">
        <v>7194820452</v>
      </c>
      <c r="N240">
        <f t="shared" si="21"/>
        <v>0</v>
      </c>
      <c r="O240">
        <f t="shared" si="22"/>
        <v>37</v>
      </c>
      <c r="P240">
        <f t="shared" si="23"/>
        <v>0</v>
      </c>
      <c r="Q240">
        <f t="shared" si="25"/>
        <v>37</v>
      </c>
      <c r="R240" s="2">
        <f t="shared" si="26"/>
        <v>4.7607419999999996</v>
      </c>
      <c r="S240" s="2">
        <f t="shared" si="27"/>
        <v>-74.059270999999995</v>
      </c>
      <c r="U240">
        <v>239</v>
      </c>
      <c r="V240">
        <v>7194820452</v>
      </c>
      <c r="W240">
        <v>0</v>
      </c>
      <c r="X240">
        <v>37</v>
      </c>
      <c r="Y240">
        <v>0</v>
      </c>
      <c r="Z240">
        <v>37</v>
      </c>
      <c r="AA240" s="2">
        <v>4.7607419999999996</v>
      </c>
      <c r="AB240" s="2">
        <v>-74.059270999999995</v>
      </c>
    </row>
    <row r="241" spans="1:28" x14ac:dyDescent="0.25">
      <c r="A241">
        <v>7194865141</v>
      </c>
      <c r="B241">
        <v>1</v>
      </c>
      <c r="C241" t="s">
        <v>16</v>
      </c>
      <c r="D241">
        <v>4.6545899999999998</v>
      </c>
      <c r="E241">
        <v>-74.077545000000001</v>
      </c>
      <c r="F241" s="1">
        <f t="shared" si="24"/>
        <v>7</v>
      </c>
      <c r="G241">
        <v>7194865141</v>
      </c>
      <c r="H241">
        <v>4.6545899999999998</v>
      </c>
      <c r="I241">
        <v>7194865141</v>
      </c>
      <c r="J241">
        <v>-74.077545000000001</v>
      </c>
      <c r="L241">
        <v>240</v>
      </c>
      <c r="M241">
        <v>7194730275</v>
      </c>
      <c r="N241">
        <f t="shared" si="21"/>
        <v>0</v>
      </c>
      <c r="O241">
        <f t="shared" si="22"/>
        <v>8</v>
      </c>
      <c r="P241">
        <f t="shared" si="23"/>
        <v>0</v>
      </c>
      <c r="Q241">
        <f t="shared" si="25"/>
        <v>8</v>
      </c>
      <c r="R241" s="2">
        <f t="shared" si="26"/>
        <v>4.7610479999999997</v>
      </c>
      <c r="S241" s="2">
        <f t="shared" si="27"/>
        <v>-74.165386999999996</v>
      </c>
      <c r="U241">
        <v>240</v>
      </c>
      <c r="V241">
        <v>7194730275</v>
      </c>
      <c r="W241">
        <v>0</v>
      </c>
      <c r="X241">
        <v>8</v>
      </c>
      <c r="Y241">
        <v>0</v>
      </c>
      <c r="Z241">
        <v>8</v>
      </c>
      <c r="AA241" s="2">
        <v>4.7610479999999997</v>
      </c>
      <c r="AB241" s="2">
        <v>-74.165386999999996</v>
      </c>
    </row>
    <row r="242" spans="1:28" x14ac:dyDescent="0.25">
      <c r="A242">
        <v>7194865225</v>
      </c>
      <c r="B242">
        <v>40</v>
      </c>
      <c r="C242" t="s">
        <v>16</v>
      </c>
      <c r="D242">
        <v>4.6565300000000001</v>
      </c>
      <c r="E242">
        <v>-74.060050000000004</v>
      </c>
      <c r="F242" s="1">
        <f t="shared" si="24"/>
        <v>60</v>
      </c>
      <c r="G242">
        <v>7194865225</v>
      </c>
      <c r="H242">
        <v>4.6565300000000001</v>
      </c>
      <c r="I242">
        <v>7194865225</v>
      </c>
      <c r="J242">
        <v>-74.060050000000004</v>
      </c>
      <c r="L242">
        <v>241</v>
      </c>
      <c r="M242">
        <v>7194842188</v>
      </c>
      <c r="N242">
        <f t="shared" si="21"/>
        <v>0</v>
      </c>
      <c r="O242">
        <f t="shared" si="22"/>
        <v>145</v>
      </c>
      <c r="P242">
        <f t="shared" si="23"/>
        <v>0</v>
      </c>
      <c r="Q242">
        <f t="shared" si="25"/>
        <v>145</v>
      </c>
      <c r="R242" s="2">
        <f t="shared" si="26"/>
        <v>4.764716</v>
      </c>
      <c r="S242" s="2">
        <f t="shared" si="27"/>
        <v>-74.178808000000004</v>
      </c>
      <c r="U242">
        <v>241</v>
      </c>
      <c r="V242">
        <v>7194842188</v>
      </c>
      <c r="W242">
        <v>0</v>
      </c>
      <c r="X242">
        <v>145</v>
      </c>
      <c r="Y242">
        <v>0</v>
      </c>
      <c r="Z242">
        <v>145</v>
      </c>
      <c r="AA242" s="2">
        <v>4.764716</v>
      </c>
      <c r="AB242" s="2">
        <v>-74.178808000000004</v>
      </c>
    </row>
    <row r="243" spans="1:28" x14ac:dyDescent="0.25">
      <c r="A243">
        <v>7194850044</v>
      </c>
      <c r="B243">
        <v>32</v>
      </c>
      <c r="C243" t="s">
        <v>16</v>
      </c>
      <c r="D243">
        <v>4.6570819999999999</v>
      </c>
      <c r="E243">
        <v>-74.056055999999998</v>
      </c>
      <c r="F243" s="1">
        <f t="shared" si="24"/>
        <v>97</v>
      </c>
      <c r="G243">
        <v>7194850044</v>
      </c>
      <c r="H243">
        <v>4.6570819999999999</v>
      </c>
      <c r="I243">
        <v>7194850044</v>
      </c>
      <c r="J243">
        <v>-74.056055999999998</v>
      </c>
      <c r="L243">
        <v>242</v>
      </c>
      <c r="M243">
        <v>7194855736</v>
      </c>
      <c r="N243">
        <f t="shared" si="21"/>
        <v>0</v>
      </c>
      <c r="O243">
        <f t="shared" si="22"/>
        <v>500</v>
      </c>
      <c r="P243">
        <f t="shared" si="23"/>
        <v>0</v>
      </c>
      <c r="Q243">
        <f t="shared" si="25"/>
        <v>500</v>
      </c>
      <c r="R243" s="2">
        <f t="shared" si="26"/>
        <v>4.7671979999999996</v>
      </c>
      <c r="S243" s="2">
        <f t="shared" si="27"/>
        <v>-74.184166000000005</v>
      </c>
      <c r="U243">
        <v>242</v>
      </c>
      <c r="V243">
        <v>7194855736</v>
      </c>
      <c r="W243">
        <v>0</v>
      </c>
      <c r="X243">
        <v>500</v>
      </c>
      <c r="Y243">
        <v>0</v>
      </c>
      <c r="Z243">
        <v>500</v>
      </c>
      <c r="AA243" s="2">
        <v>4.7671979999999996</v>
      </c>
      <c r="AB243" s="2">
        <v>-74.184166000000005</v>
      </c>
    </row>
    <row r="244" spans="1:28" x14ac:dyDescent="0.25">
      <c r="A244">
        <v>7194851496</v>
      </c>
      <c r="B244">
        <v>29</v>
      </c>
      <c r="C244" t="s">
        <v>16</v>
      </c>
      <c r="D244">
        <v>4.6575600000000001</v>
      </c>
      <c r="E244">
        <v>-74.056760999999995</v>
      </c>
      <c r="F244" s="1">
        <f t="shared" si="24"/>
        <v>29</v>
      </c>
      <c r="G244">
        <v>7194851496</v>
      </c>
      <c r="H244">
        <v>4.6575600000000001</v>
      </c>
      <c r="I244">
        <v>7194851496</v>
      </c>
      <c r="J244">
        <v>-74.056760999999995</v>
      </c>
      <c r="L244">
        <v>243</v>
      </c>
      <c r="M244">
        <v>7194865234</v>
      </c>
      <c r="N244">
        <f t="shared" si="21"/>
        <v>0</v>
      </c>
      <c r="O244">
        <f t="shared" si="22"/>
        <v>62</v>
      </c>
      <c r="P244">
        <f t="shared" si="23"/>
        <v>0</v>
      </c>
      <c r="Q244">
        <f t="shared" si="25"/>
        <v>62</v>
      </c>
      <c r="R244" s="2">
        <f t="shared" si="26"/>
        <v>4.7733090000000002</v>
      </c>
      <c r="S244" s="2">
        <f t="shared" si="27"/>
        <v>-74.052640999999994</v>
      </c>
      <c r="U244">
        <v>243</v>
      </c>
      <c r="V244">
        <v>7194865234</v>
      </c>
      <c r="W244">
        <v>0</v>
      </c>
      <c r="X244">
        <v>62</v>
      </c>
      <c r="Y244">
        <v>0</v>
      </c>
      <c r="Z244">
        <v>62</v>
      </c>
      <c r="AA244" s="2">
        <v>4.7733090000000002</v>
      </c>
      <c r="AB244" s="2">
        <v>-74.052640999999994</v>
      </c>
    </row>
    <row r="245" spans="1:28" x14ac:dyDescent="0.25">
      <c r="A245">
        <v>7194819013</v>
      </c>
      <c r="B245">
        <v>300</v>
      </c>
      <c r="C245" t="s">
        <v>16</v>
      </c>
      <c r="D245">
        <v>4.659249</v>
      </c>
      <c r="E245">
        <v>-74.075361999999998</v>
      </c>
      <c r="F245" s="1">
        <f t="shared" si="24"/>
        <v>300</v>
      </c>
      <c r="G245">
        <v>7194819013</v>
      </c>
      <c r="H245">
        <v>4.659249</v>
      </c>
      <c r="I245">
        <v>7194819013</v>
      </c>
      <c r="J245">
        <v>-74.075361999999998</v>
      </c>
      <c r="L245">
        <v>244</v>
      </c>
      <c r="M245">
        <v>7194859761</v>
      </c>
      <c r="N245">
        <f t="shared" si="21"/>
        <v>0</v>
      </c>
      <c r="O245">
        <f t="shared" si="22"/>
        <v>81</v>
      </c>
      <c r="P245">
        <f t="shared" si="23"/>
        <v>0</v>
      </c>
      <c r="Q245">
        <f t="shared" si="25"/>
        <v>81</v>
      </c>
      <c r="R245" s="2">
        <f t="shared" si="26"/>
        <v>4.780259</v>
      </c>
      <c r="S245" s="2">
        <f t="shared" si="27"/>
        <v>-74.183404999999993</v>
      </c>
      <c r="U245">
        <v>244</v>
      </c>
      <c r="V245">
        <v>7194859761</v>
      </c>
      <c r="W245">
        <v>0</v>
      </c>
      <c r="X245">
        <v>81</v>
      </c>
      <c r="Y245">
        <v>0</v>
      </c>
      <c r="Z245">
        <v>81</v>
      </c>
      <c r="AA245" s="2">
        <v>4.780259</v>
      </c>
      <c r="AB245" s="2">
        <v>-74.183404999999993</v>
      </c>
    </row>
    <row r="246" spans="1:28" x14ac:dyDescent="0.25">
      <c r="A246">
        <v>7194850692</v>
      </c>
      <c r="B246">
        <v>20</v>
      </c>
      <c r="C246" t="s">
        <v>16</v>
      </c>
      <c r="D246">
        <v>4.6613889999999998</v>
      </c>
      <c r="E246">
        <v>-74.100898000000001</v>
      </c>
      <c r="F246" s="1">
        <f t="shared" si="24"/>
        <v>20</v>
      </c>
      <c r="G246">
        <v>7194850692</v>
      </c>
      <c r="H246">
        <v>4.6613889999999998</v>
      </c>
      <c r="I246">
        <v>7194850692</v>
      </c>
      <c r="J246">
        <v>-74.100898000000001</v>
      </c>
      <c r="L246">
        <v>245</v>
      </c>
      <c r="M246">
        <v>7194841698</v>
      </c>
      <c r="N246">
        <f t="shared" si="21"/>
        <v>0</v>
      </c>
      <c r="O246">
        <f t="shared" si="22"/>
        <v>6</v>
      </c>
      <c r="P246">
        <f t="shared" si="23"/>
        <v>0</v>
      </c>
      <c r="Q246">
        <f t="shared" si="25"/>
        <v>6</v>
      </c>
      <c r="R246" s="2">
        <f t="shared" si="26"/>
        <v>4.7861789999999997</v>
      </c>
      <c r="S246" s="2">
        <f t="shared" si="27"/>
        <v>-74.187524999999994</v>
      </c>
      <c r="U246">
        <v>245</v>
      </c>
      <c r="V246">
        <v>7194841698</v>
      </c>
      <c r="W246">
        <v>0</v>
      </c>
      <c r="X246">
        <v>6</v>
      </c>
      <c r="Y246">
        <v>0</v>
      </c>
      <c r="Z246">
        <v>6</v>
      </c>
      <c r="AA246" s="2">
        <v>4.7861789999999997</v>
      </c>
      <c r="AB246" s="2">
        <v>-74.187524999999994</v>
      </c>
    </row>
    <row r="247" spans="1:28" x14ac:dyDescent="0.25">
      <c r="A247">
        <v>7194861584</v>
      </c>
      <c r="B247">
        <v>38</v>
      </c>
      <c r="C247" t="s">
        <v>16</v>
      </c>
      <c r="D247">
        <v>4.6617040000000003</v>
      </c>
      <c r="E247">
        <v>-74.132422000000005</v>
      </c>
      <c r="F247" s="1">
        <f t="shared" si="24"/>
        <v>44</v>
      </c>
      <c r="G247">
        <v>7194861584</v>
      </c>
      <c r="H247">
        <v>4.6617040000000003</v>
      </c>
      <c r="I247">
        <v>7194861584</v>
      </c>
      <c r="J247">
        <v>-74.132422000000005</v>
      </c>
      <c r="L247">
        <v>246</v>
      </c>
      <c r="M247">
        <v>7194863347</v>
      </c>
      <c r="N247">
        <f t="shared" si="21"/>
        <v>0</v>
      </c>
      <c r="O247">
        <f t="shared" si="22"/>
        <v>12</v>
      </c>
      <c r="P247">
        <f t="shared" si="23"/>
        <v>7</v>
      </c>
      <c r="Q247">
        <f t="shared" si="25"/>
        <v>19</v>
      </c>
      <c r="R247" s="2">
        <f t="shared" si="26"/>
        <v>4.807976</v>
      </c>
      <c r="S247" s="2">
        <f t="shared" si="27"/>
        <v>-74.069312999999994</v>
      </c>
      <c r="U247">
        <v>246</v>
      </c>
      <c r="V247">
        <v>7194863347</v>
      </c>
      <c r="W247">
        <v>0</v>
      </c>
      <c r="X247">
        <v>12</v>
      </c>
      <c r="Y247">
        <v>7</v>
      </c>
      <c r="Z247">
        <v>19</v>
      </c>
      <c r="AA247" s="2">
        <v>4.807976</v>
      </c>
      <c r="AB247" s="2">
        <v>-74.069312999999994</v>
      </c>
    </row>
    <row r="248" spans="1:28" x14ac:dyDescent="0.25">
      <c r="A248">
        <v>7194865436</v>
      </c>
      <c r="B248">
        <v>10</v>
      </c>
      <c r="C248" t="s">
        <v>16</v>
      </c>
      <c r="D248">
        <v>4.6617899999999999</v>
      </c>
      <c r="E248">
        <v>-74.109494999999995</v>
      </c>
      <c r="F248" s="1">
        <f t="shared" si="24"/>
        <v>50</v>
      </c>
      <c r="G248">
        <v>7194865436</v>
      </c>
      <c r="H248">
        <v>4.6617899999999999</v>
      </c>
      <c r="I248">
        <v>7194865436</v>
      </c>
      <c r="J248">
        <v>-74.109494999999995</v>
      </c>
      <c r="L248">
        <v>247</v>
      </c>
      <c r="M248">
        <v>7194867174</v>
      </c>
      <c r="N248">
        <f t="shared" si="21"/>
        <v>0</v>
      </c>
      <c r="O248">
        <f t="shared" si="22"/>
        <v>15</v>
      </c>
      <c r="P248">
        <f t="shared" si="23"/>
        <v>0</v>
      </c>
      <c r="Q248">
        <f t="shared" si="25"/>
        <v>15</v>
      </c>
      <c r="R248" s="2">
        <f t="shared" si="26"/>
        <v>4.8547000000000002</v>
      </c>
      <c r="S248" s="2">
        <f t="shared" si="27"/>
        <v>-74.066468</v>
      </c>
      <c r="U248">
        <v>247</v>
      </c>
      <c r="V248">
        <v>7194867174</v>
      </c>
      <c r="W248">
        <v>0</v>
      </c>
      <c r="X248">
        <v>15</v>
      </c>
      <c r="Y248">
        <v>0</v>
      </c>
      <c r="Z248">
        <v>15</v>
      </c>
      <c r="AA248" s="2">
        <v>4.8547000000000002</v>
      </c>
      <c r="AB248" s="2">
        <v>-74.066468</v>
      </c>
    </row>
    <row r="249" spans="1:28" x14ac:dyDescent="0.25">
      <c r="A249">
        <v>7194823787</v>
      </c>
      <c r="B249">
        <v>25</v>
      </c>
      <c r="C249" t="s">
        <v>16</v>
      </c>
      <c r="D249">
        <v>4.6620280000000003</v>
      </c>
      <c r="E249">
        <v>-74.080489999999998</v>
      </c>
      <c r="F249" s="1">
        <f t="shared" si="24"/>
        <v>25</v>
      </c>
      <c r="G249">
        <v>7194823787</v>
      </c>
      <c r="H249">
        <v>4.6620280000000003</v>
      </c>
      <c r="I249">
        <v>7194823787</v>
      </c>
      <c r="J249">
        <v>-74.080489999999998</v>
      </c>
      <c r="L249">
        <v>248</v>
      </c>
      <c r="M249">
        <v>7194865825</v>
      </c>
      <c r="N249">
        <f t="shared" si="21"/>
        <v>0</v>
      </c>
      <c r="O249">
        <f t="shared" si="22"/>
        <v>10</v>
      </c>
      <c r="P249">
        <f t="shared" si="23"/>
        <v>0</v>
      </c>
      <c r="Q249">
        <f t="shared" si="25"/>
        <v>10</v>
      </c>
      <c r="R249" s="2">
        <f t="shared" si="26"/>
        <v>4.865564</v>
      </c>
      <c r="S249" s="2">
        <f t="shared" si="27"/>
        <v>-74.039570999999995</v>
      </c>
      <c r="U249">
        <v>248</v>
      </c>
      <c r="V249">
        <v>7194865825</v>
      </c>
      <c r="W249">
        <v>0</v>
      </c>
      <c r="X249">
        <v>10</v>
      </c>
      <c r="Y249">
        <v>0</v>
      </c>
      <c r="Z249">
        <v>10</v>
      </c>
      <c r="AA249" s="2">
        <v>4.865564</v>
      </c>
      <c r="AB249" s="2">
        <v>-74.039570999999995</v>
      </c>
    </row>
    <row r="250" spans="1:28" x14ac:dyDescent="0.25">
      <c r="A250">
        <v>7194872125</v>
      </c>
      <c r="B250">
        <v>20</v>
      </c>
      <c r="C250" t="s">
        <v>16</v>
      </c>
      <c r="D250">
        <v>4.6627450000000001</v>
      </c>
      <c r="E250">
        <v>-74.056309999999996</v>
      </c>
      <c r="F250" s="1">
        <f t="shared" si="24"/>
        <v>24</v>
      </c>
      <c r="G250">
        <v>7194872125</v>
      </c>
      <c r="H250">
        <v>4.6627450000000001</v>
      </c>
      <c r="I250">
        <v>7194872125</v>
      </c>
      <c r="J250">
        <v>-74.056309999999996</v>
      </c>
      <c r="L250">
        <v>249</v>
      </c>
      <c r="M250">
        <v>7194868640</v>
      </c>
      <c r="N250">
        <f t="shared" si="21"/>
        <v>0</v>
      </c>
      <c r="O250">
        <f t="shared" si="22"/>
        <v>0</v>
      </c>
      <c r="P250">
        <f t="shared" si="23"/>
        <v>3</v>
      </c>
      <c r="Q250">
        <f t="shared" si="25"/>
        <v>3</v>
      </c>
      <c r="R250" s="2">
        <f t="shared" si="26"/>
        <v>4.5765349999999998</v>
      </c>
      <c r="S250" s="2">
        <f t="shared" si="27"/>
        <v>-74.091116</v>
      </c>
      <c r="U250">
        <v>249</v>
      </c>
      <c r="V250">
        <v>7194868640</v>
      </c>
      <c r="W250">
        <v>0</v>
      </c>
      <c r="X250">
        <v>0</v>
      </c>
      <c r="Y250">
        <v>3</v>
      </c>
      <c r="Z250">
        <v>3</v>
      </c>
      <c r="AA250" s="2">
        <v>4.5765349999999998</v>
      </c>
      <c r="AB250" s="2">
        <v>-74.091116</v>
      </c>
    </row>
    <row r="251" spans="1:28" x14ac:dyDescent="0.25">
      <c r="A251">
        <v>7194866155</v>
      </c>
      <c r="B251">
        <v>27</v>
      </c>
      <c r="C251" t="s">
        <v>16</v>
      </c>
      <c r="D251">
        <v>4.662871</v>
      </c>
      <c r="E251">
        <v>-74.052481999999998</v>
      </c>
      <c r="F251" s="1">
        <f t="shared" si="24"/>
        <v>60</v>
      </c>
      <c r="G251">
        <v>7194866155</v>
      </c>
      <c r="H251">
        <v>4.662871</v>
      </c>
      <c r="I251">
        <v>7194866155</v>
      </c>
      <c r="J251">
        <v>-74.052481999999998</v>
      </c>
      <c r="L251">
        <v>250</v>
      </c>
      <c r="M251">
        <v>7194864864</v>
      </c>
      <c r="N251">
        <f t="shared" si="21"/>
        <v>0</v>
      </c>
      <c r="O251">
        <f t="shared" si="22"/>
        <v>0</v>
      </c>
      <c r="P251">
        <f t="shared" si="23"/>
        <v>20</v>
      </c>
      <c r="Q251">
        <f t="shared" si="25"/>
        <v>20</v>
      </c>
      <c r="R251" s="2">
        <f t="shared" si="26"/>
        <v>4.5978690000000002</v>
      </c>
      <c r="S251" s="2">
        <f t="shared" si="27"/>
        <v>-74.067409999999995</v>
      </c>
      <c r="U251">
        <v>250</v>
      </c>
      <c r="V251">
        <v>7194864864</v>
      </c>
      <c r="W251">
        <v>0</v>
      </c>
      <c r="X251">
        <v>0</v>
      </c>
      <c r="Y251">
        <v>20</v>
      </c>
      <c r="Z251">
        <v>20</v>
      </c>
      <c r="AA251" s="2">
        <v>4.5978690000000002</v>
      </c>
      <c r="AB251" s="2">
        <v>-74.067409999999995</v>
      </c>
    </row>
    <row r="252" spans="1:28" x14ac:dyDescent="0.25">
      <c r="A252">
        <v>7194816466</v>
      </c>
      <c r="B252">
        <v>20</v>
      </c>
      <c r="C252" t="s">
        <v>16</v>
      </c>
      <c r="D252">
        <v>4.6637339999999998</v>
      </c>
      <c r="E252">
        <v>-74.079887999999997</v>
      </c>
      <c r="F252" s="1">
        <f t="shared" si="24"/>
        <v>57</v>
      </c>
      <c r="G252">
        <v>7194816466</v>
      </c>
      <c r="H252">
        <v>4.6637339999999998</v>
      </c>
      <c r="I252">
        <v>7194816466</v>
      </c>
      <c r="J252">
        <v>-74.079887999999997</v>
      </c>
      <c r="L252">
        <v>251</v>
      </c>
      <c r="M252">
        <v>7194823514</v>
      </c>
      <c r="N252">
        <f t="shared" si="21"/>
        <v>0</v>
      </c>
      <c r="O252">
        <f t="shared" si="22"/>
        <v>0</v>
      </c>
      <c r="P252">
        <f t="shared" si="23"/>
        <v>7</v>
      </c>
      <c r="Q252">
        <f t="shared" si="25"/>
        <v>7</v>
      </c>
      <c r="R252" s="2">
        <f t="shared" si="26"/>
        <v>4.6037100000000004</v>
      </c>
      <c r="S252" s="2">
        <f t="shared" si="27"/>
        <v>-74.086907999999994</v>
      </c>
      <c r="U252">
        <v>251</v>
      </c>
      <c r="V252">
        <v>7194823514</v>
      </c>
      <c r="W252">
        <v>0</v>
      </c>
      <c r="X252">
        <v>0</v>
      </c>
      <c r="Y252">
        <v>7</v>
      </c>
      <c r="Z252">
        <v>7</v>
      </c>
      <c r="AA252" s="2">
        <v>4.6037100000000004</v>
      </c>
      <c r="AB252" s="2">
        <v>-74.086907999999994</v>
      </c>
    </row>
    <row r="253" spans="1:28" x14ac:dyDescent="0.25">
      <c r="A253">
        <v>7194821290</v>
      </c>
      <c r="B253">
        <v>54</v>
      </c>
      <c r="C253" t="s">
        <v>16</v>
      </c>
      <c r="D253">
        <v>4.6637930000000001</v>
      </c>
      <c r="E253">
        <v>-74.072248999999999</v>
      </c>
      <c r="F253" s="1">
        <f t="shared" si="24"/>
        <v>54</v>
      </c>
      <c r="G253">
        <v>7194821290</v>
      </c>
      <c r="H253">
        <v>4.6637930000000001</v>
      </c>
      <c r="I253">
        <v>7194821290</v>
      </c>
      <c r="J253">
        <v>-74.072248999999999</v>
      </c>
      <c r="L253">
        <v>252</v>
      </c>
      <c r="M253">
        <v>7194856815</v>
      </c>
      <c r="N253">
        <f t="shared" si="21"/>
        <v>0</v>
      </c>
      <c r="O253">
        <f t="shared" si="22"/>
        <v>0</v>
      </c>
      <c r="P253">
        <f t="shared" si="23"/>
        <v>54</v>
      </c>
      <c r="Q253">
        <f t="shared" si="25"/>
        <v>54</v>
      </c>
      <c r="R253" s="2">
        <f t="shared" si="26"/>
        <v>4.6314650000000004</v>
      </c>
      <c r="S253" s="2">
        <f t="shared" si="27"/>
        <v>-74.155158999999998</v>
      </c>
      <c r="U253">
        <v>252</v>
      </c>
      <c r="V253">
        <v>7194856815</v>
      </c>
      <c r="W253">
        <v>0</v>
      </c>
      <c r="X253">
        <v>0</v>
      </c>
      <c r="Y253">
        <v>54</v>
      </c>
      <c r="Z253">
        <v>54</v>
      </c>
      <c r="AA253" s="2">
        <v>4.6314650000000004</v>
      </c>
      <c r="AB253" s="2">
        <v>-74.155158999999998</v>
      </c>
    </row>
    <row r="254" spans="1:28" x14ac:dyDescent="0.25">
      <c r="A254">
        <v>7194865583</v>
      </c>
      <c r="B254">
        <v>246</v>
      </c>
      <c r="C254" t="s">
        <v>16</v>
      </c>
      <c r="D254">
        <v>4.6646330000000003</v>
      </c>
      <c r="E254">
        <v>-74.078505000000007</v>
      </c>
      <c r="F254" s="1">
        <f t="shared" si="24"/>
        <v>285</v>
      </c>
      <c r="G254">
        <v>7194865583</v>
      </c>
      <c r="H254">
        <v>4.6646330000000003</v>
      </c>
      <c r="I254">
        <v>7194865583</v>
      </c>
      <c r="J254">
        <v>-74.078505000000007</v>
      </c>
      <c r="L254">
        <v>253</v>
      </c>
      <c r="M254">
        <v>7194804424</v>
      </c>
      <c r="N254">
        <f t="shared" si="21"/>
        <v>0</v>
      </c>
      <c r="O254">
        <f t="shared" si="22"/>
        <v>0</v>
      </c>
      <c r="P254">
        <f t="shared" si="23"/>
        <v>258</v>
      </c>
      <c r="Q254">
        <f t="shared" si="25"/>
        <v>258</v>
      </c>
      <c r="R254" s="2">
        <f t="shared" si="26"/>
        <v>4.689095</v>
      </c>
      <c r="S254" s="2">
        <f t="shared" si="27"/>
        <v>-74.131162000000003</v>
      </c>
      <c r="U254">
        <v>253</v>
      </c>
      <c r="V254">
        <v>7194804424</v>
      </c>
      <c r="W254">
        <v>0</v>
      </c>
      <c r="X254">
        <v>0</v>
      </c>
      <c r="Y254">
        <v>258</v>
      </c>
      <c r="Z254">
        <v>258</v>
      </c>
      <c r="AA254" s="2">
        <v>4.689095</v>
      </c>
      <c r="AB254" s="2">
        <v>-74.131162000000003</v>
      </c>
    </row>
    <row r="255" spans="1:28" x14ac:dyDescent="0.25">
      <c r="A255">
        <v>7194871417</v>
      </c>
      <c r="B255">
        <v>40</v>
      </c>
      <c r="C255" t="s">
        <v>16</v>
      </c>
      <c r="D255">
        <v>4.6663079999999999</v>
      </c>
      <c r="E255">
        <v>-74.055583999999996</v>
      </c>
      <c r="F255" s="1">
        <f t="shared" si="24"/>
        <v>40</v>
      </c>
      <c r="G255">
        <v>7194871417</v>
      </c>
      <c r="H255">
        <v>4.6663079999999999</v>
      </c>
      <c r="I255">
        <v>7194871417</v>
      </c>
      <c r="J255">
        <v>-74.055583999999996</v>
      </c>
      <c r="L255">
        <v>254</v>
      </c>
      <c r="M255">
        <v>7194839772</v>
      </c>
      <c r="N255">
        <f t="shared" si="21"/>
        <v>0</v>
      </c>
      <c r="O255">
        <f t="shared" si="22"/>
        <v>0</v>
      </c>
      <c r="P255">
        <f t="shared" si="23"/>
        <v>3</v>
      </c>
      <c r="Q255">
        <f t="shared" si="25"/>
        <v>3</v>
      </c>
      <c r="R255" s="2">
        <f t="shared" si="26"/>
        <v>4.7387600000000001</v>
      </c>
      <c r="S255" s="2">
        <f t="shared" si="27"/>
        <v>-74.137321</v>
      </c>
      <c r="U255">
        <v>254</v>
      </c>
      <c r="V255">
        <v>7194839772</v>
      </c>
      <c r="W255">
        <v>0</v>
      </c>
      <c r="X255">
        <v>0</v>
      </c>
      <c r="Y255">
        <v>3</v>
      </c>
      <c r="Z255">
        <v>3</v>
      </c>
      <c r="AA255" s="2">
        <v>4.7387600000000001</v>
      </c>
      <c r="AB255" s="2">
        <v>-74.137321</v>
      </c>
    </row>
    <row r="256" spans="1:28" x14ac:dyDescent="0.25">
      <c r="A256">
        <v>7194799842</v>
      </c>
      <c r="B256">
        <v>36</v>
      </c>
      <c r="C256" t="s">
        <v>16</v>
      </c>
      <c r="D256">
        <v>4.6663709999999998</v>
      </c>
      <c r="E256">
        <v>-74.052642000000006</v>
      </c>
      <c r="F256" s="1">
        <f t="shared" si="24"/>
        <v>36</v>
      </c>
      <c r="G256">
        <v>7194799842</v>
      </c>
      <c r="H256">
        <v>4.6663709999999998</v>
      </c>
      <c r="I256">
        <v>7194799842</v>
      </c>
      <c r="J256">
        <v>-74.052642000000006</v>
      </c>
      <c r="L256">
        <v>255</v>
      </c>
      <c r="M256">
        <v>7194860803</v>
      </c>
      <c r="N256">
        <f t="shared" si="21"/>
        <v>0</v>
      </c>
      <c r="O256">
        <f t="shared" si="22"/>
        <v>0</v>
      </c>
      <c r="P256">
        <f t="shared" si="23"/>
        <v>21</v>
      </c>
      <c r="Q256">
        <f t="shared" si="25"/>
        <v>21</v>
      </c>
      <c r="R256" s="2">
        <f t="shared" si="26"/>
        <v>4.7433290000000001</v>
      </c>
      <c r="S256" s="2">
        <f t="shared" si="27"/>
        <v>-74.042948999999993</v>
      </c>
      <c r="U256">
        <v>255</v>
      </c>
      <c r="V256">
        <v>7194860803</v>
      </c>
      <c r="W256">
        <v>0</v>
      </c>
      <c r="X256">
        <v>0</v>
      </c>
      <c r="Y256">
        <v>21</v>
      </c>
      <c r="Z256">
        <v>21</v>
      </c>
      <c r="AA256" s="2">
        <v>4.7433290000000001</v>
      </c>
      <c r="AB256" s="2">
        <v>-74.042948999999993</v>
      </c>
    </row>
    <row r="257" spans="1:28" x14ac:dyDescent="0.25">
      <c r="A257">
        <v>7194866117</v>
      </c>
      <c r="B257">
        <v>19</v>
      </c>
      <c r="C257" t="s">
        <v>16</v>
      </c>
      <c r="D257">
        <v>4.6667490000000003</v>
      </c>
      <c r="E257">
        <v>-74.054530999999997</v>
      </c>
      <c r="F257" s="1">
        <f t="shared" si="24"/>
        <v>19</v>
      </c>
      <c r="G257">
        <v>7194866117</v>
      </c>
      <c r="H257">
        <v>4.6667490000000003</v>
      </c>
      <c r="I257">
        <v>7194866117</v>
      </c>
      <c r="J257">
        <v>-74.054530999999997</v>
      </c>
      <c r="L257">
        <v>256</v>
      </c>
      <c r="M257">
        <v>7194865758</v>
      </c>
      <c r="N257">
        <f t="shared" si="21"/>
        <v>0</v>
      </c>
      <c r="O257">
        <f t="shared" si="22"/>
        <v>0</v>
      </c>
      <c r="P257">
        <f t="shared" si="23"/>
        <v>10</v>
      </c>
      <c r="Q257">
        <f t="shared" si="25"/>
        <v>10</v>
      </c>
      <c r="R257" s="2">
        <f t="shared" si="26"/>
        <v>4.7607419999999996</v>
      </c>
      <c r="S257" s="2">
        <f t="shared" si="27"/>
        <v>-74.059270999999995</v>
      </c>
      <c r="U257">
        <v>256</v>
      </c>
      <c r="V257">
        <v>7194865758</v>
      </c>
      <c r="W257">
        <v>0</v>
      </c>
      <c r="X257">
        <v>0</v>
      </c>
      <c r="Y257">
        <v>10</v>
      </c>
      <c r="Z257">
        <v>10</v>
      </c>
      <c r="AA257" s="2">
        <v>4.7607419999999996</v>
      </c>
      <c r="AB257" s="2">
        <v>-74.059270999999995</v>
      </c>
    </row>
    <row r="258" spans="1:28" x14ac:dyDescent="0.25">
      <c r="A258">
        <v>7194868442</v>
      </c>
      <c r="B258">
        <v>15</v>
      </c>
      <c r="C258" t="s">
        <v>16</v>
      </c>
      <c r="D258">
        <v>4.6683339999999998</v>
      </c>
      <c r="E258">
        <v>-74.054243999999997</v>
      </c>
      <c r="F258" s="1">
        <f t="shared" si="24"/>
        <v>15</v>
      </c>
      <c r="G258">
        <v>7194868442</v>
      </c>
      <c r="H258">
        <v>4.6683339999999998</v>
      </c>
      <c r="I258">
        <v>7194868442</v>
      </c>
      <c r="J258">
        <v>-74.054243999999997</v>
      </c>
      <c r="L258">
        <v>257</v>
      </c>
      <c r="M258">
        <v>7194869046</v>
      </c>
      <c r="N258">
        <f t="shared" ref="N258:N260" si="28">SUMIFS($B$2:$B$403,$A$2:$A$403,M258,$C$2:$C$403,$N$1)</f>
        <v>0</v>
      </c>
      <c r="O258">
        <f t="shared" si="22"/>
        <v>0</v>
      </c>
      <c r="P258">
        <f t="shared" si="23"/>
        <v>9</v>
      </c>
      <c r="Q258">
        <f t="shared" si="25"/>
        <v>9</v>
      </c>
      <c r="R258" s="2">
        <f t="shared" si="26"/>
        <v>4.7861789999999997</v>
      </c>
      <c r="S258" s="2">
        <f t="shared" si="27"/>
        <v>-74.187524999999994</v>
      </c>
      <c r="U258">
        <v>257</v>
      </c>
      <c r="V258">
        <v>7194869046</v>
      </c>
      <c r="W258">
        <v>0</v>
      </c>
      <c r="X258">
        <v>0</v>
      </c>
      <c r="Y258">
        <v>9</v>
      </c>
      <c r="Z258">
        <v>9</v>
      </c>
      <c r="AA258" s="2">
        <v>4.7861789999999997</v>
      </c>
      <c r="AB258" s="2">
        <v>-74.187524999999994</v>
      </c>
    </row>
    <row r="259" spans="1:28" x14ac:dyDescent="0.25">
      <c r="A259">
        <v>7194830323</v>
      </c>
      <c r="B259">
        <v>181</v>
      </c>
      <c r="C259" t="s">
        <v>16</v>
      </c>
      <c r="D259">
        <v>4.6688489999999998</v>
      </c>
      <c r="E259">
        <v>-74.056647999999996</v>
      </c>
      <c r="F259" s="1">
        <f t="shared" ref="F259:F322" si="29">SUMIFS($B$2:$B$403, $A$2:$A$403, $A259)</f>
        <v>242</v>
      </c>
      <c r="G259">
        <v>7194830323</v>
      </c>
      <c r="H259">
        <v>4.6688489999999998</v>
      </c>
      <c r="I259">
        <v>7194830323</v>
      </c>
      <c r="J259">
        <v>-74.056647999999996</v>
      </c>
      <c r="L259">
        <v>258</v>
      </c>
      <c r="M259">
        <v>7194864836</v>
      </c>
      <c r="N259">
        <f t="shared" si="28"/>
        <v>0</v>
      </c>
      <c r="O259">
        <f t="shared" si="22"/>
        <v>0</v>
      </c>
      <c r="P259">
        <f t="shared" si="23"/>
        <v>24</v>
      </c>
      <c r="Q259">
        <f t="shared" ref="Q259:Q260" si="30">SUM(N259:P259)</f>
        <v>24</v>
      </c>
      <c r="R259" s="2">
        <f t="shared" si="26"/>
        <v>4.7928990000000002</v>
      </c>
      <c r="S259" s="2">
        <f t="shared" si="27"/>
        <v>-74.076076999999998</v>
      </c>
      <c r="U259">
        <v>258</v>
      </c>
      <c r="V259">
        <v>7194864836</v>
      </c>
      <c r="W259">
        <v>0</v>
      </c>
      <c r="X259">
        <v>0</v>
      </c>
      <c r="Y259">
        <v>24</v>
      </c>
      <c r="Z259">
        <v>24</v>
      </c>
      <c r="AA259" s="2">
        <v>4.7928990000000002</v>
      </c>
      <c r="AB259" s="2">
        <v>-74.076076999999998</v>
      </c>
    </row>
    <row r="260" spans="1:28" x14ac:dyDescent="0.25">
      <c r="A260">
        <v>7194815861</v>
      </c>
      <c r="B260">
        <v>49</v>
      </c>
      <c r="C260" t="s">
        <v>16</v>
      </c>
      <c r="D260">
        <v>4.6692640000000001</v>
      </c>
      <c r="E260">
        <v>-74.063890000000001</v>
      </c>
      <c r="F260" s="1">
        <f t="shared" si="29"/>
        <v>49</v>
      </c>
      <c r="G260">
        <v>7194815861</v>
      </c>
      <c r="H260">
        <v>4.6692640000000001</v>
      </c>
      <c r="I260">
        <v>7194815861</v>
      </c>
      <c r="J260">
        <v>-74.063890000000001</v>
      </c>
      <c r="L260">
        <v>259</v>
      </c>
      <c r="M260">
        <v>7194864920</v>
      </c>
      <c r="N260">
        <f t="shared" si="28"/>
        <v>0</v>
      </c>
      <c r="O260">
        <f t="shared" si="22"/>
        <v>0</v>
      </c>
      <c r="P260">
        <f t="shared" si="23"/>
        <v>6</v>
      </c>
      <c r="Q260">
        <f t="shared" si="30"/>
        <v>6</v>
      </c>
      <c r="R260" s="2">
        <f t="shared" ref="R260" si="31">VLOOKUP(M260,$G$2:$H$403,2,FALSE)</f>
        <v>4.7930380000000001</v>
      </c>
      <c r="S260" s="2">
        <f t="shared" ref="S260" si="32">VLOOKUP(M260,$I$2:$J$403,2,FALSE)</f>
        <v>-74.04383</v>
      </c>
      <c r="U260">
        <v>259</v>
      </c>
      <c r="V260">
        <v>7194864920</v>
      </c>
      <c r="W260">
        <v>0</v>
      </c>
      <c r="X260">
        <v>0</v>
      </c>
      <c r="Y260">
        <v>6</v>
      </c>
      <c r="Z260">
        <v>6</v>
      </c>
      <c r="AA260" s="2">
        <v>4.7930380000000001</v>
      </c>
      <c r="AB260" s="2">
        <v>-74.04383</v>
      </c>
    </row>
    <row r="261" spans="1:28" x14ac:dyDescent="0.25">
      <c r="A261">
        <v>7194860268</v>
      </c>
      <c r="B261">
        <v>114</v>
      </c>
      <c r="C261" t="s">
        <v>16</v>
      </c>
      <c r="D261">
        <v>4.6697329999999999</v>
      </c>
      <c r="E261">
        <v>-74.056324000000004</v>
      </c>
      <c r="F261" s="1">
        <f t="shared" si="29"/>
        <v>114</v>
      </c>
      <c r="G261">
        <v>7194860268</v>
      </c>
      <c r="H261">
        <v>4.6697329999999999</v>
      </c>
      <c r="I261">
        <v>7194860268</v>
      </c>
      <c r="J261">
        <v>-74.056324000000004</v>
      </c>
    </row>
    <row r="262" spans="1:28" x14ac:dyDescent="0.25">
      <c r="A262">
        <v>7194858466</v>
      </c>
      <c r="B262">
        <v>11</v>
      </c>
      <c r="C262" t="s">
        <v>16</v>
      </c>
      <c r="D262">
        <v>4.6697389999999999</v>
      </c>
      <c r="E262">
        <v>-74.053314999999998</v>
      </c>
      <c r="F262" s="1">
        <f t="shared" si="29"/>
        <v>76</v>
      </c>
      <c r="G262">
        <v>7194858466</v>
      </c>
      <c r="H262">
        <v>4.6697389999999999</v>
      </c>
      <c r="I262">
        <v>7194858466</v>
      </c>
      <c r="J262">
        <v>-74.053314999999998</v>
      </c>
    </row>
    <row r="263" spans="1:28" x14ac:dyDescent="0.25">
      <c r="A263">
        <v>7194869925</v>
      </c>
      <c r="B263">
        <v>148</v>
      </c>
      <c r="C263" t="s">
        <v>16</v>
      </c>
      <c r="D263">
        <v>4.6703450000000002</v>
      </c>
      <c r="E263">
        <v>-74.084894000000006</v>
      </c>
      <c r="F263" s="1">
        <f t="shared" si="29"/>
        <v>148</v>
      </c>
      <c r="G263">
        <v>7194869925</v>
      </c>
      <c r="H263">
        <v>4.6703450000000002</v>
      </c>
      <c r="I263">
        <v>7194869925</v>
      </c>
      <c r="J263">
        <v>-74.084894000000006</v>
      </c>
    </row>
    <row r="264" spans="1:28" x14ac:dyDescent="0.25">
      <c r="A264">
        <v>7194869486</v>
      </c>
      <c r="B264">
        <v>78</v>
      </c>
      <c r="C264" t="s">
        <v>16</v>
      </c>
      <c r="D264">
        <v>4.6712829999999999</v>
      </c>
      <c r="E264">
        <v>-74.081180000000003</v>
      </c>
      <c r="F264" s="1">
        <f t="shared" si="29"/>
        <v>118</v>
      </c>
      <c r="G264">
        <v>7194869486</v>
      </c>
      <c r="H264">
        <v>4.6712829999999999</v>
      </c>
      <c r="I264">
        <v>7194869486</v>
      </c>
      <c r="J264">
        <v>-74.081180000000003</v>
      </c>
    </row>
    <row r="265" spans="1:28" x14ac:dyDescent="0.25">
      <c r="A265">
        <v>7194867430</v>
      </c>
      <c r="B265">
        <v>5</v>
      </c>
      <c r="C265" t="s">
        <v>16</v>
      </c>
      <c r="D265">
        <v>4.6730470000000004</v>
      </c>
      <c r="E265">
        <v>-74.048151000000004</v>
      </c>
      <c r="F265" s="1">
        <f t="shared" si="29"/>
        <v>18</v>
      </c>
      <c r="G265">
        <v>7194867430</v>
      </c>
      <c r="H265">
        <v>4.6730470000000004</v>
      </c>
      <c r="I265">
        <v>7194867430</v>
      </c>
      <c r="J265">
        <v>-74.048151000000004</v>
      </c>
    </row>
    <row r="266" spans="1:28" x14ac:dyDescent="0.25">
      <c r="A266">
        <v>7194873485</v>
      </c>
      <c r="B266">
        <v>11</v>
      </c>
      <c r="C266" t="s">
        <v>16</v>
      </c>
      <c r="D266">
        <v>4.6733310000000001</v>
      </c>
      <c r="E266">
        <v>-74.053589000000002</v>
      </c>
      <c r="F266" s="1">
        <f t="shared" si="29"/>
        <v>54</v>
      </c>
      <c r="G266">
        <v>7194873485</v>
      </c>
      <c r="H266">
        <v>4.6733310000000001</v>
      </c>
      <c r="I266">
        <v>7194873485</v>
      </c>
      <c r="J266">
        <v>-74.053589000000002</v>
      </c>
    </row>
    <row r="267" spans="1:28" x14ac:dyDescent="0.25">
      <c r="A267">
        <v>7194864908</v>
      </c>
      <c r="B267">
        <v>21</v>
      </c>
      <c r="C267" t="s">
        <v>16</v>
      </c>
      <c r="D267">
        <v>4.6743290000000002</v>
      </c>
      <c r="E267">
        <v>-74.070690999999997</v>
      </c>
      <c r="F267" s="1">
        <f t="shared" si="29"/>
        <v>21</v>
      </c>
      <c r="G267">
        <v>7194864908</v>
      </c>
      <c r="H267">
        <v>4.6743290000000002</v>
      </c>
      <c r="I267">
        <v>7194864908</v>
      </c>
      <c r="J267">
        <v>-74.070690999999997</v>
      </c>
    </row>
    <row r="268" spans="1:28" x14ac:dyDescent="0.25">
      <c r="A268">
        <v>7194848649</v>
      </c>
      <c r="B268">
        <v>45</v>
      </c>
      <c r="C268" t="s">
        <v>16</v>
      </c>
      <c r="D268">
        <v>4.6743779999999999</v>
      </c>
      <c r="E268">
        <v>-74.047999000000004</v>
      </c>
      <c r="F268" s="1">
        <f t="shared" si="29"/>
        <v>51</v>
      </c>
      <c r="G268">
        <v>7194848649</v>
      </c>
      <c r="H268">
        <v>4.6743779999999999</v>
      </c>
      <c r="I268">
        <v>7194848649</v>
      </c>
      <c r="J268">
        <v>-74.047999000000004</v>
      </c>
    </row>
    <row r="269" spans="1:28" x14ac:dyDescent="0.25">
      <c r="A269">
        <v>7194820956</v>
      </c>
      <c r="B269">
        <v>4</v>
      </c>
      <c r="C269" t="s">
        <v>16</v>
      </c>
      <c r="D269">
        <v>4.6757400000000002</v>
      </c>
      <c r="E269">
        <v>-74.117895000000004</v>
      </c>
      <c r="F269" s="1">
        <f t="shared" si="29"/>
        <v>8</v>
      </c>
      <c r="G269">
        <v>7194820956</v>
      </c>
      <c r="H269">
        <v>4.6757400000000002</v>
      </c>
      <c r="I269">
        <v>7194820956</v>
      </c>
      <c r="J269">
        <v>-74.117895000000004</v>
      </c>
    </row>
    <row r="270" spans="1:28" x14ac:dyDescent="0.25">
      <c r="A270">
        <v>7194843286</v>
      </c>
      <c r="B270">
        <v>250</v>
      </c>
      <c r="C270" t="s">
        <v>16</v>
      </c>
      <c r="D270">
        <v>4.6763450000000004</v>
      </c>
      <c r="E270">
        <v>-74.061701999999997</v>
      </c>
      <c r="F270" s="1">
        <f t="shared" si="29"/>
        <v>250</v>
      </c>
      <c r="G270">
        <v>7194843286</v>
      </c>
      <c r="H270">
        <v>4.6763450000000004</v>
      </c>
      <c r="I270">
        <v>7194843286</v>
      </c>
      <c r="J270">
        <v>-74.061701999999997</v>
      </c>
    </row>
    <row r="271" spans="1:28" x14ac:dyDescent="0.25">
      <c r="A271">
        <v>7194867721</v>
      </c>
      <c r="B271">
        <v>791</v>
      </c>
      <c r="C271" t="s">
        <v>16</v>
      </c>
      <c r="D271">
        <v>4.6772159999999996</v>
      </c>
      <c r="E271">
        <v>-74.137641000000002</v>
      </c>
      <c r="F271" s="1">
        <f t="shared" si="29"/>
        <v>911</v>
      </c>
      <c r="G271">
        <v>7194867721</v>
      </c>
      <c r="H271">
        <v>4.6772159999999996</v>
      </c>
      <c r="I271">
        <v>7194867721</v>
      </c>
      <c r="J271">
        <v>-74.137641000000002</v>
      </c>
    </row>
    <row r="272" spans="1:28" x14ac:dyDescent="0.25">
      <c r="A272">
        <v>7194837268</v>
      </c>
      <c r="B272">
        <v>272</v>
      </c>
      <c r="C272" t="s">
        <v>16</v>
      </c>
      <c r="D272">
        <v>4.678858</v>
      </c>
      <c r="E272">
        <v>-74.127341999999999</v>
      </c>
      <c r="F272" s="1">
        <f t="shared" si="29"/>
        <v>307</v>
      </c>
      <c r="G272">
        <v>7194837268</v>
      </c>
      <c r="H272">
        <v>4.678858</v>
      </c>
      <c r="I272">
        <v>7194837268</v>
      </c>
      <c r="J272">
        <v>-74.127341999999999</v>
      </c>
    </row>
    <row r="273" spans="1:10" x14ac:dyDescent="0.25">
      <c r="A273">
        <v>7194831562</v>
      </c>
      <c r="B273">
        <v>59</v>
      </c>
      <c r="C273" t="s">
        <v>16</v>
      </c>
      <c r="D273">
        <v>4.6798380000000002</v>
      </c>
      <c r="E273">
        <v>-74.064344000000006</v>
      </c>
      <c r="F273" s="1">
        <f t="shared" si="29"/>
        <v>85</v>
      </c>
      <c r="G273">
        <v>7194831562</v>
      </c>
      <c r="H273">
        <v>4.6798380000000002</v>
      </c>
      <c r="I273">
        <v>7194831562</v>
      </c>
      <c r="J273">
        <v>-74.064344000000006</v>
      </c>
    </row>
    <row r="274" spans="1:10" x14ac:dyDescent="0.25">
      <c r="A274">
        <v>7194839241</v>
      </c>
      <c r="B274">
        <v>148</v>
      </c>
      <c r="C274" t="s">
        <v>16</v>
      </c>
      <c r="D274">
        <v>4.6825570000000001</v>
      </c>
      <c r="E274">
        <v>-74.134210999999993</v>
      </c>
      <c r="F274" s="1">
        <f t="shared" si="29"/>
        <v>150</v>
      </c>
      <c r="G274">
        <v>7194839241</v>
      </c>
      <c r="H274">
        <v>4.6825570000000001</v>
      </c>
      <c r="I274">
        <v>7194839241</v>
      </c>
      <c r="J274">
        <v>-74.134210999999993</v>
      </c>
    </row>
    <row r="275" spans="1:10" x14ac:dyDescent="0.25">
      <c r="A275">
        <v>7194864026</v>
      </c>
      <c r="B275">
        <v>5</v>
      </c>
      <c r="C275" t="s">
        <v>16</v>
      </c>
      <c r="D275">
        <v>4.683478</v>
      </c>
      <c r="E275">
        <v>-74.164619999999999</v>
      </c>
      <c r="F275" s="1">
        <f t="shared" si="29"/>
        <v>13</v>
      </c>
      <c r="G275">
        <v>7194864026</v>
      </c>
      <c r="H275">
        <v>4.683478</v>
      </c>
      <c r="I275">
        <v>7194864026</v>
      </c>
      <c r="J275">
        <v>-74.164619999999999</v>
      </c>
    </row>
    <row r="276" spans="1:10" x14ac:dyDescent="0.25">
      <c r="A276">
        <v>7194865587</v>
      </c>
      <c r="B276">
        <v>11</v>
      </c>
      <c r="C276" t="s">
        <v>16</v>
      </c>
      <c r="D276">
        <v>4.6862740000000001</v>
      </c>
      <c r="E276">
        <v>-74.052616</v>
      </c>
      <c r="F276" s="1">
        <f t="shared" si="29"/>
        <v>37</v>
      </c>
      <c r="G276">
        <v>7194865587</v>
      </c>
      <c r="H276">
        <v>4.6862740000000001</v>
      </c>
      <c r="I276">
        <v>7194865587</v>
      </c>
      <c r="J276">
        <v>-74.052616</v>
      </c>
    </row>
    <row r="277" spans="1:10" x14ac:dyDescent="0.25">
      <c r="A277">
        <v>7194866813</v>
      </c>
      <c r="B277">
        <v>7</v>
      </c>
      <c r="C277" t="s">
        <v>16</v>
      </c>
      <c r="D277">
        <v>4.6883720000000002</v>
      </c>
      <c r="E277">
        <v>-74.041144000000003</v>
      </c>
      <c r="F277" s="1">
        <f t="shared" si="29"/>
        <v>7</v>
      </c>
      <c r="G277">
        <v>7194866813</v>
      </c>
      <c r="H277">
        <v>4.6883720000000002</v>
      </c>
      <c r="I277">
        <v>7194866813</v>
      </c>
      <c r="J277">
        <v>-74.041144000000003</v>
      </c>
    </row>
    <row r="278" spans="1:10" x14ac:dyDescent="0.25">
      <c r="A278">
        <v>7194831213</v>
      </c>
      <c r="B278">
        <v>84</v>
      </c>
      <c r="C278" t="s">
        <v>16</v>
      </c>
      <c r="D278">
        <v>4.6886400000000004</v>
      </c>
      <c r="E278">
        <v>-74.048338000000001</v>
      </c>
      <c r="F278" s="1">
        <f t="shared" si="29"/>
        <v>90</v>
      </c>
      <c r="G278">
        <v>7194831213</v>
      </c>
      <c r="H278">
        <v>4.6886400000000004</v>
      </c>
      <c r="I278">
        <v>7194831213</v>
      </c>
      <c r="J278">
        <v>-74.048338000000001</v>
      </c>
    </row>
    <row r="279" spans="1:10" x14ac:dyDescent="0.25">
      <c r="A279">
        <v>7194868671</v>
      </c>
      <c r="B279">
        <v>1130</v>
      </c>
      <c r="C279" t="s">
        <v>16</v>
      </c>
      <c r="D279">
        <v>4.6888880000000004</v>
      </c>
      <c r="E279">
        <v>-74.129417000000004</v>
      </c>
      <c r="F279" s="1">
        <f t="shared" si="29"/>
        <v>1130</v>
      </c>
      <c r="G279">
        <v>7194868671</v>
      </c>
      <c r="H279">
        <v>4.6888880000000004</v>
      </c>
      <c r="I279">
        <v>7194868671</v>
      </c>
      <c r="J279">
        <v>-74.129417000000004</v>
      </c>
    </row>
    <row r="280" spans="1:10" x14ac:dyDescent="0.25">
      <c r="A280">
        <v>7194806195</v>
      </c>
      <c r="B280">
        <v>695</v>
      </c>
      <c r="C280" t="s">
        <v>16</v>
      </c>
      <c r="D280">
        <v>4.689095</v>
      </c>
      <c r="E280">
        <v>-74.131162000000003</v>
      </c>
      <c r="F280" s="1">
        <f t="shared" si="29"/>
        <v>695</v>
      </c>
      <c r="G280">
        <v>7194806195</v>
      </c>
      <c r="H280">
        <v>4.689095</v>
      </c>
      <c r="I280">
        <v>7194806195</v>
      </c>
      <c r="J280">
        <v>-74.131162000000003</v>
      </c>
    </row>
    <row r="281" spans="1:10" x14ac:dyDescent="0.25">
      <c r="A281">
        <v>7194865304</v>
      </c>
      <c r="B281">
        <v>3</v>
      </c>
      <c r="C281" t="s">
        <v>16</v>
      </c>
      <c r="D281">
        <v>4.6892630000000004</v>
      </c>
      <c r="E281">
        <v>-74.128377</v>
      </c>
      <c r="F281" s="1">
        <f t="shared" si="29"/>
        <v>3</v>
      </c>
      <c r="G281">
        <v>7194865304</v>
      </c>
      <c r="H281">
        <v>4.6892630000000004</v>
      </c>
      <c r="I281">
        <v>7194865304</v>
      </c>
      <c r="J281">
        <v>-74.128377</v>
      </c>
    </row>
    <row r="282" spans="1:10" x14ac:dyDescent="0.25">
      <c r="A282">
        <v>7194860895</v>
      </c>
      <c r="B282">
        <v>99</v>
      </c>
      <c r="C282" t="s">
        <v>16</v>
      </c>
      <c r="D282">
        <v>4.6895699999999998</v>
      </c>
      <c r="E282">
        <v>-74.130313000000001</v>
      </c>
      <c r="F282" s="1">
        <f t="shared" si="29"/>
        <v>115</v>
      </c>
      <c r="G282">
        <v>7194860895</v>
      </c>
      <c r="H282">
        <v>4.6895699999999998</v>
      </c>
      <c r="I282">
        <v>7194860895</v>
      </c>
      <c r="J282">
        <v>-74.130313000000001</v>
      </c>
    </row>
    <row r="283" spans="1:10" x14ac:dyDescent="0.25">
      <c r="A283">
        <v>7194858455</v>
      </c>
      <c r="B283">
        <v>14</v>
      </c>
      <c r="C283" t="s">
        <v>16</v>
      </c>
      <c r="D283">
        <v>4.6905859999999997</v>
      </c>
      <c r="E283">
        <v>-74.065459000000004</v>
      </c>
      <c r="F283" s="1">
        <f t="shared" si="29"/>
        <v>14</v>
      </c>
      <c r="G283">
        <v>7194858455</v>
      </c>
      <c r="H283">
        <v>4.6905859999999997</v>
      </c>
      <c r="I283">
        <v>7194858455</v>
      </c>
      <c r="J283">
        <v>-74.065459000000004</v>
      </c>
    </row>
    <row r="284" spans="1:10" x14ac:dyDescent="0.25">
      <c r="A284">
        <v>7194846863</v>
      </c>
      <c r="B284">
        <v>50</v>
      </c>
      <c r="C284" t="s">
        <v>16</v>
      </c>
      <c r="D284">
        <v>4.6906109999999996</v>
      </c>
      <c r="E284">
        <v>-74.038202999999996</v>
      </c>
      <c r="F284" s="1">
        <f t="shared" si="29"/>
        <v>65</v>
      </c>
      <c r="G284">
        <v>7194846863</v>
      </c>
      <c r="H284">
        <v>4.6906109999999996</v>
      </c>
      <c r="I284">
        <v>7194846863</v>
      </c>
      <c r="J284">
        <v>-74.038202999999996</v>
      </c>
    </row>
    <row r="285" spans="1:10" x14ac:dyDescent="0.25">
      <c r="A285">
        <v>7194850518</v>
      </c>
      <c r="B285">
        <v>62</v>
      </c>
      <c r="C285" t="s">
        <v>16</v>
      </c>
      <c r="D285">
        <v>4.690849</v>
      </c>
      <c r="E285">
        <v>-74.148673000000002</v>
      </c>
      <c r="F285" s="1">
        <f t="shared" si="29"/>
        <v>144</v>
      </c>
      <c r="G285">
        <v>7194850518</v>
      </c>
      <c r="H285">
        <v>4.690849</v>
      </c>
      <c r="I285">
        <v>7194850518</v>
      </c>
      <c r="J285">
        <v>-74.148673000000002</v>
      </c>
    </row>
    <row r="286" spans="1:10" x14ac:dyDescent="0.25">
      <c r="A286">
        <v>7194860377</v>
      </c>
      <c r="B286">
        <v>12</v>
      </c>
      <c r="C286" t="s">
        <v>16</v>
      </c>
      <c r="D286">
        <v>4.6924999999999999</v>
      </c>
      <c r="E286">
        <v>-74.068284000000006</v>
      </c>
      <c r="F286" s="1">
        <f t="shared" si="29"/>
        <v>47</v>
      </c>
      <c r="G286">
        <v>7194860377</v>
      </c>
      <c r="H286">
        <v>4.6924999999999999</v>
      </c>
      <c r="I286">
        <v>7194860377</v>
      </c>
      <c r="J286">
        <v>-74.068284000000006</v>
      </c>
    </row>
    <row r="287" spans="1:10" x14ac:dyDescent="0.25">
      <c r="A287">
        <v>7194865164</v>
      </c>
      <c r="B287">
        <v>1</v>
      </c>
      <c r="C287" t="s">
        <v>16</v>
      </c>
      <c r="D287">
        <v>4.692679</v>
      </c>
      <c r="E287">
        <v>-74.136281999999994</v>
      </c>
      <c r="F287" s="1">
        <f t="shared" si="29"/>
        <v>5</v>
      </c>
      <c r="G287">
        <v>7194865164</v>
      </c>
      <c r="H287">
        <v>4.692679</v>
      </c>
      <c r="I287">
        <v>7194865164</v>
      </c>
      <c r="J287">
        <v>-74.136281999999994</v>
      </c>
    </row>
    <row r="288" spans="1:10" x14ac:dyDescent="0.25">
      <c r="A288">
        <v>7194866138</v>
      </c>
      <c r="B288">
        <v>30</v>
      </c>
      <c r="C288" t="s">
        <v>16</v>
      </c>
      <c r="D288">
        <v>4.6934019999999999</v>
      </c>
      <c r="E288">
        <v>-74.034571</v>
      </c>
      <c r="F288" s="1">
        <f t="shared" si="29"/>
        <v>137</v>
      </c>
      <c r="G288">
        <v>7194866138</v>
      </c>
      <c r="H288">
        <v>4.6934019999999999</v>
      </c>
      <c r="I288">
        <v>7194866138</v>
      </c>
      <c r="J288">
        <v>-74.034571</v>
      </c>
    </row>
    <row r="289" spans="1:10" x14ac:dyDescent="0.25">
      <c r="A289">
        <v>7194865290</v>
      </c>
      <c r="B289">
        <v>5</v>
      </c>
      <c r="C289" t="s">
        <v>16</v>
      </c>
      <c r="D289">
        <v>4.6935349999999998</v>
      </c>
      <c r="E289">
        <v>-74.134482000000006</v>
      </c>
      <c r="F289" s="1">
        <f t="shared" si="29"/>
        <v>68</v>
      </c>
      <c r="G289">
        <v>7194865290</v>
      </c>
      <c r="H289">
        <v>4.6935349999999998</v>
      </c>
      <c r="I289">
        <v>7194865290</v>
      </c>
      <c r="J289">
        <v>-74.134482000000006</v>
      </c>
    </row>
    <row r="290" spans="1:10" x14ac:dyDescent="0.25">
      <c r="A290">
        <v>7194867028</v>
      </c>
      <c r="B290">
        <v>79</v>
      </c>
      <c r="C290" t="s">
        <v>16</v>
      </c>
      <c r="D290">
        <v>4.696072</v>
      </c>
      <c r="E290">
        <v>-74.142893999999998</v>
      </c>
      <c r="F290" s="1">
        <f t="shared" si="29"/>
        <v>104</v>
      </c>
      <c r="G290">
        <v>7194867028</v>
      </c>
      <c r="H290">
        <v>4.696072</v>
      </c>
      <c r="I290">
        <v>7194867028</v>
      </c>
      <c r="J290">
        <v>-74.142893999999998</v>
      </c>
    </row>
    <row r="291" spans="1:10" x14ac:dyDescent="0.25">
      <c r="A291">
        <v>7194868405</v>
      </c>
      <c r="B291">
        <v>8</v>
      </c>
      <c r="C291" t="s">
        <v>16</v>
      </c>
      <c r="D291">
        <v>4.6961789999999999</v>
      </c>
      <c r="E291">
        <v>-74.032945999999995</v>
      </c>
      <c r="F291" s="1">
        <f t="shared" si="29"/>
        <v>8</v>
      </c>
      <c r="G291">
        <v>7194868405</v>
      </c>
      <c r="H291">
        <v>4.6961789999999999</v>
      </c>
      <c r="I291">
        <v>7194868405</v>
      </c>
      <c r="J291">
        <v>-74.032945999999995</v>
      </c>
    </row>
    <row r="292" spans="1:10" x14ac:dyDescent="0.25">
      <c r="A292">
        <v>7194859808</v>
      </c>
      <c r="B292">
        <v>28</v>
      </c>
      <c r="C292" t="s">
        <v>16</v>
      </c>
      <c r="D292">
        <v>4.696326</v>
      </c>
      <c r="E292">
        <v>-74.143739999999994</v>
      </c>
      <c r="F292" s="1">
        <f t="shared" si="29"/>
        <v>89</v>
      </c>
      <c r="G292">
        <v>7194859808</v>
      </c>
      <c r="H292">
        <v>4.696326</v>
      </c>
      <c r="I292">
        <v>7194859808</v>
      </c>
      <c r="J292">
        <v>-74.143739999999994</v>
      </c>
    </row>
    <row r="293" spans="1:10" x14ac:dyDescent="0.25">
      <c r="A293">
        <v>7194859936</v>
      </c>
      <c r="B293">
        <v>30</v>
      </c>
      <c r="C293" t="s">
        <v>16</v>
      </c>
      <c r="D293">
        <v>4.6970510000000001</v>
      </c>
      <c r="E293">
        <v>-74.205757000000006</v>
      </c>
      <c r="F293" s="1">
        <f t="shared" si="29"/>
        <v>50</v>
      </c>
      <c r="G293">
        <v>7194859936</v>
      </c>
      <c r="H293">
        <v>4.6970510000000001</v>
      </c>
      <c r="I293">
        <v>7194859936</v>
      </c>
      <c r="J293">
        <v>-74.205757000000006</v>
      </c>
    </row>
    <row r="294" spans="1:10" x14ac:dyDescent="0.25">
      <c r="A294">
        <v>7194867044</v>
      </c>
      <c r="B294">
        <v>198</v>
      </c>
      <c r="C294" t="s">
        <v>16</v>
      </c>
      <c r="D294">
        <v>4.6975939999999996</v>
      </c>
      <c r="E294">
        <v>-74.139038999999997</v>
      </c>
      <c r="F294" s="1">
        <f t="shared" si="29"/>
        <v>199</v>
      </c>
      <c r="G294">
        <v>7194867044</v>
      </c>
      <c r="H294">
        <v>4.6975939999999996</v>
      </c>
      <c r="I294">
        <v>7194867044</v>
      </c>
      <c r="J294">
        <v>-74.139038999999997</v>
      </c>
    </row>
    <row r="295" spans="1:10" x14ac:dyDescent="0.25">
      <c r="A295">
        <v>7194870209</v>
      </c>
      <c r="B295">
        <v>24</v>
      </c>
      <c r="C295" t="s">
        <v>16</v>
      </c>
      <c r="D295">
        <v>4.6978030000000004</v>
      </c>
      <c r="E295">
        <v>-74.038591999999994</v>
      </c>
      <c r="F295" s="1">
        <f t="shared" si="29"/>
        <v>134</v>
      </c>
      <c r="G295">
        <v>7194870209</v>
      </c>
      <c r="H295">
        <v>4.6978030000000004</v>
      </c>
      <c r="I295">
        <v>7194870209</v>
      </c>
      <c r="J295">
        <v>-74.038591999999994</v>
      </c>
    </row>
    <row r="296" spans="1:10" x14ac:dyDescent="0.25">
      <c r="A296">
        <v>7194836905</v>
      </c>
      <c r="B296">
        <v>433</v>
      </c>
      <c r="C296" t="s">
        <v>16</v>
      </c>
      <c r="D296">
        <v>4.6984589999999997</v>
      </c>
      <c r="E296">
        <v>-74.072867000000002</v>
      </c>
      <c r="F296" s="1">
        <f t="shared" si="29"/>
        <v>500</v>
      </c>
      <c r="G296">
        <v>7194836905</v>
      </c>
      <c r="H296">
        <v>4.6984589999999997</v>
      </c>
      <c r="I296">
        <v>7194836905</v>
      </c>
      <c r="J296">
        <v>-74.072867000000002</v>
      </c>
    </row>
    <row r="297" spans="1:10" x14ac:dyDescent="0.25">
      <c r="A297">
        <v>7194845615</v>
      </c>
      <c r="B297">
        <v>3</v>
      </c>
      <c r="C297" t="s">
        <v>16</v>
      </c>
      <c r="D297">
        <v>4.6990439999999998</v>
      </c>
      <c r="E297">
        <v>-74.140962999999999</v>
      </c>
      <c r="F297" s="1">
        <f t="shared" si="29"/>
        <v>3</v>
      </c>
      <c r="G297">
        <v>7194845615</v>
      </c>
      <c r="H297">
        <v>4.6990439999999998</v>
      </c>
      <c r="I297">
        <v>7194845615</v>
      </c>
      <c r="J297">
        <v>-74.140962999999999</v>
      </c>
    </row>
    <row r="298" spans="1:10" x14ac:dyDescent="0.25">
      <c r="A298">
        <v>7194865133</v>
      </c>
      <c r="B298">
        <v>67</v>
      </c>
      <c r="C298" t="s">
        <v>16</v>
      </c>
      <c r="D298">
        <v>4.7021290000000002</v>
      </c>
      <c r="E298">
        <v>-74.082421999999994</v>
      </c>
      <c r="F298" s="1">
        <f t="shared" si="29"/>
        <v>251</v>
      </c>
      <c r="G298">
        <v>7194865133</v>
      </c>
      <c r="H298">
        <v>4.7021290000000002</v>
      </c>
      <c r="I298">
        <v>7194865133</v>
      </c>
      <c r="J298">
        <v>-74.082421999999994</v>
      </c>
    </row>
    <row r="299" spans="1:10" x14ac:dyDescent="0.25">
      <c r="A299">
        <v>7194865483</v>
      </c>
      <c r="B299">
        <v>10</v>
      </c>
      <c r="C299" t="s">
        <v>16</v>
      </c>
      <c r="D299">
        <v>4.7021319999999998</v>
      </c>
      <c r="E299">
        <v>-74.041151999999997</v>
      </c>
      <c r="F299" s="1">
        <f t="shared" si="29"/>
        <v>21</v>
      </c>
      <c r="G299">
        <v>7194865483</v>
      </c>
      <c r="H299">
        <v>4.7021319999999998</v>
      </c>
      <c r="I299">
        <v>7194865483</v>
      </c>
      <c r="J299">
        <v>-74.041151999999997</v>
      </c>
    </row>
    <row r="300" spans="1:10" x14ac:dyDescent="0.25">
      <c r="A300">
        <v>7194863841</v>
      </c>
      <c r="B300">
        <v>36</v>
      </c>
      <c r="C300" t="s">
        <v>16</v>
      </c>
      <c r="D300">
        <v>4.7022050000000002</v>
      </c>
      <c r="E300">
        <v>-74.042705999999995</v>
      </c>
      <c r="F300" s="1">
        <f t="shared" si="29"/>
        <v>78</v>
      </c>
      <c r="G300">
        <v>7194863841</v>
      </c>
      <c r="H300">
        <v>4.7022050000000002</v>
      </c>
      <c r="I300">
        <v>7194863841</v>
      </c>
      <c r="J300">
        <v>-74.042705999999995</v>
      </c>
    </row>
    <row r="301" spans="1:10" x14ac:dyDescent="0.25">
      <c r="A301">
        <v>7194866782</v>
      </c>
      <c r="B301">
        <v>4</v>
      </c>
      <c r="C301" t="s">
        <v>16</v>
      </c>
      <c r="D301">
        <v>4.7022940000000002</v>
      </c>
      <c r="E301">
        <v>-74.041989000000001</v>
      </c>
      <c r="F301" s="1">
        <f t="shared" si="29"/>
        <v>9</v>
      </c>
      <c r="G301">
        <v>7194866782</v>
      </c>
      <c r="H301">
        <v>4.7022940000000002</v>
      </c>
      <c r="I301">
        <v>7194866782</v>
      </c>
      <c r="J301">
        <v>-74.041989000000001</v>
      </c>
    </row>
    <row r="302" spans="1:10" x14ac:dyDescent="0.25">
      <c r="A302">
        <v>7194865525</v>
      </c>
      <c r="B302">
        <v>5</v>
      </c>
      <c r="C302" t="s">
        <v>16</v>
      </c>
      <c r="D302">
        <v>4.7025269999999999</v>
      </c>
      <c r="E302">
        <v>-74.039420000000007</v>
      </c>
      <c r="F302" s="1">
        <f t="shared" si="29"/>
        <v>16</v>
      </c>
      <c r="G302">
        <v>7194865525</v>
      </c>
      <c r="H302">
        <v>4.7025269999999999</v>
      </c>
      <c r="I302">
        <v>7194865525</v>
      </c>
      <c r="J302">
        <v>-74.039420000000007</v>
      </c>
    </row>
    <row r="303" spans="1:10" x14ac:dyDescent="0.25">
      <c r="A303">
        <v>7194840368</v>
      </c>
      <c r="B303">
        <v>586</v>
      </c>
      <c r="C303" t="s">
        <v>16</v>
      </c>
      <c r="D303">
        <v>4.7049609999999999</v>
      </c>
      <c r="E303">
        <v>-74.043599999999998</v>
      </c>
      <c r="F303" s="1">
        <f t="shared" si="29"/>
        <v>586</v>
      </c>
      <c r="G303">
        <v>7194840368</v>
      </c>
      <c r="H303">
        <v>4.7049609999999999</v>
      </c>
      <c r="I303">
        <v>7194840368</v>
      </c>
      <c r="J303">
        <v>-74.043599999999998</v>
      </c>
    </row>
    <row r="304" spans="1:10" x14ac:dyDescent="0.25">
      <c r="A304">
        <v>7194838083</v>
      </c>
      <c r="B304">
        <v>120</v>
      </c>
      <c r="C304" t="s">
        <v>16</v>
      </c>
      <c r="D304">
        <v>4.7063329999999999</v>
      </c>
      <c r="E304">
        <v>-74.050922999999997</v>
      </c>
      <c r="F304" s="1">
        <f t="shared" si="29"/>
        <v>139</v>
      </c>
      <c r="G304">
        <v>7194838083</v>
      </c>
      <c r="H304">
        <v>4.7063329999999999</v>
      </c>
      <c r="I304">
        <v>7194838083</v>
      </c>
      <c r="J304">
        <v>-74.050922999999997</v>
      </c>
    </row>
    <row r="305" spans="1:10" x14ac:dyDescent="0.25">
      <c r="A305">
        <v>7194838368</v>
      </c>
      <c r="B305">
        <v>191</v>
      </c>
      <c r="C305" t="s">
        <v>16</v>
      </c>
      <c r="D305">
        <v>4.7064570000000003</v>
      </c>
      <c r="E305">
        <v>-74.051321999999999</v>
      </c>
      <c r="F305" s="1">
        <f t="shared" si="29"/>
        <v>246</v>
      </c>
      <c r="G305">
        <v>7194838368</v>
      </c>
      <c r="H305">
        <v>4.7064570000000003</v>
      </c>
      <c r="I305">
        <v>7194838368</v>
      </c>
      <c r="J305">
        <v>-74.051321999999999</v>
      </c>
    </row>
    <row r="306" spans="1:10" x14ac:dyDescent="0.25">
      <c r="A306">
        <v>7194858393</v>
      </c>
      <c r="B306">
        <v>79</v>
      </c>
      <c r="C306" t="s">
        <v>16</v>
      </c>
      <c r="D306">
        <v>4.7086629999999996</v>
      </c>
      <c r="E306">
        <v>-74.041647999999995</v>
      </c>
      <c r="F306" s="1">
        <f t="shared" si="29"/>
        <v>79</v>
      </c>
      <c r="G306">
        <v>7194858393</v>
      </c>
      <c r="H306">
        <v>4.7086629999999996</v>
      </c>
      <c r="I306">
        <v>7194858393</v>
      </c>
      <c r="J306">
        <v>-74.041647999999995</v>
      </c>
    </row>
    <row r="307" spans="1:10" x14ac:dyDescent="0.25">
      <c r="A307">
        <v>7194859757</v>
      </c>
      <c r="B307">
        <v>312</v>
      </c>
      <c r="C307" t="s">
        <v>16</v>
      </c>
      <c r="D307">
        <v>4.7113240000000003</v>
      </c>
      <c r="E307">
        <v>-74.032477</v>
      </c>
      <c r="F307" s="1">
        <f t="shared" si="29"/>
        <v>312</v>
      </c>
      <c r="G307">
        <v>7194859757</v>
      </c>
      <c r="H307">
        <v>4.7113240000000003</v>
      </c>
      <c r="I307">
        <v>7194859757</v>
      </c>
      <c r="J307">
        <v>-74.032477</v>
      </c>
    </row>
    <row r="308" spans="1:10" x14ac:dyDescent="0.25">
      <c r="A308">
        <v>7194865020</v>
      </c>
      <c r="B308">
        <v>201</v>
      </c>
      <c r="C308" t="s">
        <v>16</v>
      </c>
      <c r="D308">
        <v>4.7117649999999998</v>
      </c>
      <c r="E308">
        <v>-74.054941999999997</v>
      </c>
      <c r="F308" s="1">
        <f t="shared" si="29"/>
        <v>201</v>
      </c>
      <c r="G308">
        <v>7194865020</v>
      </c>
      <c r="H308">
        <v>4.7117649999999998</v>
      </c>
      <c r="I308">
        <v>7194865020</v>
      </c>
      <c r="J308">
        <v>-74.054941999999997</v>
      </c>
    </row>
    <row r="309" spans="1:10" x14ac:dyDescent="0.25">
      <c r="A309">
        <v>7194866711</v>
      </c>
      <c r="B309">
        <v>2</v>
      </c>
      <c r="C309" t="s">
        <v>16</v>
      </c>
      <c r="D309">
        <v>4.7129430000000001</v>
      </c>
      <c r="E309">
        <v>-74.071382</v>
      </c>
      <c r="F309" s="1">
        <f t="shared" si="29"/>
        <v>7</v>
      </c>
      <c r="G309">
        <v>7194866711</v>
      </c>
      <c r="H309">
        <v>4.7129430000000001</v>
      </c>
      <c r="I309">
        <v>7194866711</v>
      </c>
      <c r="J309">
        <v>-74.071382</v>
      </c>
    </row>
    <row r="310" spans="1:10" x14ac:dyDescent="0.25">
      <c r="A310">
        <v>7194867802</v>
      </c>
      <c r="B310">
        <v>462</v>
      </c>
      <c r="C310" t="s">
        <v>16</v>
      </c>
      <c r="D310">
        <v>4.7152190000000003</v>
      </c>
      <c r="E310">
        <v>-74.216830000000002</v>
      </c>
      <c r="F310" s="1">
        <f t="shared" si="29"/>
        <v>462</v>
      </c>
      <c r="G310">
        <v>7194867802</v>
      </c>
      <c r="H310">
        <v>4.7152190000000003</v>
      </c>
      <c r="I310">
        <v>7194867802</v>
      </c>
      <c r="J310">
        <v>-74.216830000000002</v>
      </c>
    </row>
    <row r="311" spans="1:10" x14ac:dyDescent="0.25">
      <c r="A311">
        <v>7194831183</v>
      </c>
      <c r="B311">
        <v>58</v>
      </c>
      <c r="C311" t="s">
        <v>16</v>
      </c>
      <c r="D311">
        <v>4.7172710000000002</v>
      </c>
      <c r="E311">
        <v>-74.046529000000007</v>
      </c>
      <c r="F311" s="1">
        <f t="shared" si="29"/>
        <v>84</v>
      </c>
      <c r="G311">
        <v>7194831183</v>
      </c>
      <c r="H311">
        <v>4.7172710000000002</v>
      </c>
      <c r="I311">
        <v>7194831183</v>
      </c>
      <c r="J311">
        <v>-74.046529000000007</v>
      </c>
    </row>
    <row r="312" spans="1:10" x14ac:dyDescent="0.25">
      <c r="A312">
        <v>7194862957</v>
      </c>
      <c r="B312">
        <v>6</v>
      </c>
      <c r="C312" t="s">
        <v>16</v>
      </c>
      <c r="D312">
        <v>4.7178300000000002</v>
      </c>
      <c r="E312">
        <v>-74.044098000000005</v>
      </c>
      <c r="F312" s="1">
        <f t="shared" si="29"/>
        <v>26</v>
      </c>
      <c r="G312">
        <v>7194862957</v>
      </c>
      <c r="H312">
        <v>4.7178300000000002</v>
      </c>
      <c r="I312">
        <v>7194862957</v>
      </c>
      <c r="J312">
        <v>-74.044098000000005</v>
      </c>
    </row>
    <row r="313" spans="1:10" x14ac:dyDescent="0.25">
      <c r="A313">
        <v>7194865745</v>
      </c>
      <c r="B313">
        <v>15</v>
      </c>
      <c r="C313" t="s">
        <v>16</v>
      </c>
      <c r="D313">
        <v>4.7178550000000001</v>
      </c>
      <c r="E313">
        <v>-74.029747</v>
      </c>
      <c r="F313" s="1">
        <f t="shared" si="29"/>
        <v>15</v>
      </c>
      <c r="G313">
        <v>7194865745</v>
      </c>
      <c r="H313">
        <v>4.7178550000000001</v>
      </c>
      <c r="I313">
        <v>7194865745</v>
      </c>
      <c r="J313">
        <v>-74.029747</v>
      </c>
    </row>
    <row r="314" spans="1:10" x14ac:dyDescent="0.25">
      <c r="A314">
        <v>7194864618</v>
      </c>
      <c r="B314">
        <v>30</v>
      </c>
      <c r="C314" t="s">
        <v>16</v>
      </c>
      <c r="D314">
        <v>4.7226509999999999</v>
      </c>
      <c r="E314">
        <v>-74.071174999999997</v>
      </c>
      <c r="F314" s="1">
        <f t="shared" si="29"/>
        <v>38</v>
      </c>
      <c r="G314">
        <v>7194864618</v>
      </c>
      <c r="H314">
        <v>4.7226509999999999</v>
      </c>
      <c r="I314">
        <v>7194864618</v>
      </c>
      <c r="J314">
        <v>-74.071174999999997</v>
      </c>
    </row>
    <row r="315" spans="1:10" x14ac:dyDescent="0.25">
      <c r="A315">
        <v>7194841036</v>
      </c>
      <c r="B315">
        <v>103</v>
      </c>
      <c r="C315" t="s">
        <v>16</v>
      </c>
      <c r="D315">
        <v>4.7227079999999999</v>
      </c>
      <c r="E315">
        <v>-74.195496000000006</v>
      </c>
      <c r="F315" s="1">
        <f t="shared" si="29"/>
        <v>103</v>
      </c>
      <c r="G315">
        <v>7194841036</v>
      </c>
      <c r="H315">
        <v>4.7227079999999999</v>
      </c>
      <c r="I315">
        <v>7194841036</v>
      </c>
      <c r="J315">
        <v>-74.195496000000006</v>
      </c>
    </row>
    <row r="316" spans="1:10" x14ac:dyDescent="0.25">
      <c r="A316">
        <v>7194867901</v>
      </c>
      <c r="B316">
        <v>34</v>
      </c>
      <c r="C316" t="s">
        <v>16</v>
      </c>
      <c r="D316">
        <v>4.7321489999999997</v>
      </c>
      <c r="E316">
        <v>-74.040616</v>
      </c>
      <c r="F316" s="1">
        <f t="shared" si="29"/>
        <v>34</v>
      </c>
      <c r="G316">
        <v>7194867901</v>
      </c>
      <c r="H316">
        <v>4.7321489999999997</v>
      </c>
      <c r="I316">
        <v>7194867901</v>
      </c>
      <c r="J316">
        <v>-74.040616</v>
      </c>
    </row>
    <row r="317" spans="1:10" x14ac:dyDescent="0.25">
      <c r="A317">
        <v>7194863853</v>
      </c>
      <c r="B317">
        <v>280</v>
      </c>
      <c r="C317" t="s">
        <v>16</v>
      </c>
      <c r="D317">
        <v>4.7324999999999999</v>
      </c>
      <c r="E317">
        <v>-74.065488000000002</v>
      </c>
      <c r="F317" s="1">
        <f t="shared" si="29"/>
        <v>317</v>
      </c>
      <c r="G317">
        <v>7194863853</v>
      </c>
      <c r="H317">
        <v>4.7324999999999999</v>
      </c>
      <c r="I317">
        <v>7194863853</v>
      </c>
      <c r="J317">
        <v>-74.065488000000002</v>
      </c>
    </row>
    <row r="318" spans="1:10" x14ac:dyDescent="0.25">
      <c r="A318">
        <v>7194820673</v>
      </c>
      <c r="B318">
        <v>12</v>
      </c>
      <c r="C318" t="s">
        <v>16</v>
      </c>
      <c r="D318">
        <v>4.7325010000000001</v>
      </c>
      <c r="E318">
        <v>-74.065488999999999</v>
      </c>
      <c r="F318" s="1">
        <f t="shared" si="29"/>
        <v>12</v>
      </c>
      <c r="G318">
        <v>7194820673</v>
      </c>
      <c r="H318">
        <v>4.7325010000000001</v>
      </c>
      <c r="I318">
        <v>7194820673</v>
      </c>
      <c r="J318">
        <v>-74.065488999999999</v>
      </c>
    </row>
    <row r="319" spans="1:10" x14ac:dyDescent="0.25">
      <c r="A319">
        <v>7194829924</v>
      </c>
      <c r="B319">
        <v>6</v>
      </c>
      <c r="C319" t="s">
        <v>16</v>
      </c>
      <c r="D319">
        <v>4.7344530000000002</v>
      </c>
      <c r="E319">
        <v>-74.047569999999993</v>
      </c>
      <c r="F319" s="1">
        <f t="shared" si="29"/>
        <v>8</v>
      </c>
      <c r="G319">
        <v>7194829924</v>
      </c>
      <c r="H319">
        <v>4.7344530000000002</v>
      </c>
      <c r="I319">
        <v>7194829924</v>
      </c>
      <c r="J319">
        <v>-74.047569999999993</v>
      </c>
    </row>
    <row r="320" spans="1:10" x14ac:dyDescent="0.25">
      <c r="A320">
        <v>7194865781</v>
      </c>
      <c r="B320">
        <v>5</v>
      </c>
      <c r="C320" t="s">
        <v>16</v>
      </c>
      <c r="D320">
        <v>4.7350700000000003</v>
      </c>
      <c r="E320">
        <v>-74.064749000000006</v>
      </c>
      <c r="F320" s="1">
        <f t="shared" si="29"/>
        <v>6</v>
      </c>
      <c r="G320">
        <v>7194865781</v>
      </c>
      <c r="H320">
        <v>4.7350700000000003</v>
      </c>
      <c r="I320">
        <v>7194865781</v>
      </c>
      <c r="J320">
        <v>-74.064749000000006</v>
      </c>
    </row>
    <row r="321" spans="1:10" x14ac:dyDescent="0.25">
      <c r="A321">
        <v>7194837873</v>
      </c>
      <c r="B321">
        <v>316</v>
      </c>
      <c r="C321" t="s">
        <v>16</v>
      </c>
      <c r="D321">
        <v>4.7357110000000002</v>
      </c>
      <c r="E321">
        <v>-74.270556999999997</v>
      </c>
      <c r="F321" s="1">
        <f t="shared" si="29"/>
        <v>316</v>
      </c>
      <c r="G321">
        <v>7194837873</v>
      </c>
      <c r="H321">
        <v>4.7357110000000002</v>
      </c>
      <c r="I321">
        <v>7194837873</v>
      </c>
      <c r="J321">
        <v>-74.270556999999997</v>
      </c>
    </row>
    <row r="322" spans="1:10" x14ac:dyDescent="0.25">
      <c r="A322">
        <v>7194864635</v>
      </c>
      <c r="B322">
        <v>16</v>
      </c>
      <c r="C322" t="s">
        <v>16</v>
      </c>
      <c r="D322">
        <v>4.7375990000000003</v>
      </c>
      <c r="E322">
        <v>-74.025225000000006</v>
      </c>
      <c r="F322" s="1">
        <f t="shared" si="29"/>
        <v>36</v>
      </c>
      <c r="G322">
        <v>7194864635</v>
      </c>
      <c r="H322">
        <v>4.7375990000000003</v>
      </c>
      <c r="I322">
        <v>7194864635</v>
      </c>
      <c r="J322">
        <v>-74.025225000000006</v>
      </c>
    </row>
    <row r="323" spans="1:10" x14ac:dyDescent="0.25">
      <c r="A323">
        <v>7194839636</v>
      </c>
      <c r="B323">
        <v>119</v>
      </c>
      <c r="C323" t="s">
        <v>16</v>
      </c>
      <c r="D323">
        <v>4.7387600000000001</v>
      </c>
      <c r="E323">
        <v>-74.137321</v>
      </c>
      <c r="F323" s="1">
        <f t="shared" ref="F323:F386" si="33">SUMIFS($B$2:$B$403, $A$2:$A$403, $A323)</f>
        <v>126</v>
      </c>
      <c r="G323">
        <v>7194839636</v>
      </c>
      <c r="H323">
        <v>4.7387600000000001</v>
      </c>
      <c r="I323">
        <v>7194839636</v>
      </c>
      <c r="J323">
        <v>-74.137321</v>
      </c>
    </row>
    <row r="324" spans="1:10" x14ac:dyDescent="0.25">
      <c r="A324">
        <v>7194791756</v>
      </c>
      <c r="B324">
        <v>42</v>
      </c>
      <c r="C324" t="s">
        <v>16</v>
      </c>
      <c r="D324">
        <v>4.7391839999999998</v>
      </c>
      <c r="E324">
        <v>-74.178839999999994</v>
      </c>
      <c r="F324" s="1">
        <f t="shared" si="33"/>
        <v>62</v>
      </c>
      <c r="G324">
        <v>7194791756</v>
      </c>
      <c r="H324">
        <v>4.7391839999999998</v>
      </c>
      <c r="I324">
        <v>7194791756</v>
      </c>
      <c r="J324">
        <v>-74.178839999999994</v>
      </c>
    </row>
    <row r="325" spans="1:10" x14ac:dyDescent="0.25">
      <c r="A325">
        <v>7194859993</v>
      </c>
      <c r="B325">
        <v>68</v>
      </c>
      <c r="C325" t="s">
        <v>16</v>
      </c>
      <c r="D325">
        <v>4.739725</v>
      </c>
      <c r="E325">
        <v>-74.239041</v>
      </c>
      <c r="F325" s="1">
        <f t="shared" si="33"/>
        <v>101</v>
      </c>
      <c r="G325">
        <v>7194859993</v>
      </c>
      <c r="H325">
        <v>4.739725</v>
      </c>
      <c r="I325">
        <v>7194859993</v>
      </c>
      <c r="J325">
        <v>-74.239041</v>
      </c>
    </row>
    <row r="326" spans="1:10" x14ac:dyDescent="0.25">
      <c r="A326">
        <v>7194865561</v>
      </c>
      <c r="B326">
        <v>5</v>
      </c>
      <c r="C326" t="s">
        <v>16</v>
      </c>
      <c r="D326">
        <v>4.7407130000000004</v>
      </c>
      <c r="E326">
        <v>-74.034086000000002</v>
      </c>
      <c r="F326" s="1">
        <f t="shared" si="33"/>
        <v>8</v>
      </c>
      <c r="G326">
        <v>7194865561</v>
      </c>
      <c r="H326">
        <v>4.7407130000000004</v>
      </c>
      <c r="I326">
        <v>7194865561</v>
      </c>
      <c r="J326">
        <v>-74.034086000000002</v>
      </c>
    </row>
    <row r="327" spans="1:10" x14ac:dyDescent="0.25">
      <c r="A327">
        <v>7194864190</v>
      </c>
      <c r="B327">
        <v>7</v>
      </c>
      <c r="C327" t="s">
        <v>16</v>
      </c>
      <c r="D327">
        <v>4.7417600000000002</v>
      </c>
      <c r="E327">
        <v>-74.025712999999996</v>
      </c>
      <c r="F327" s="1">
        <f t="shared" si="33"/>
        <v>17</v>
      </c>
      <c r="G327">
        <v>7194864190</v>
      </c>
      <c r="H327">
        <v>4.7417600000000002</v>
      </c>
      <c r="I327">
        <v>7194864190</v>
      </c>
      <c r="J327">
        <v>-74.025712999999996</v>
      </c>
    </row>
    <row r="328" spans="1:10" x14ac:dyDescent="0.25">
      <c r="A328">
        <v>7194868164</v>
      </c>
      <c r="B328">
        <v>274</v>
      </c>
      <c r="C328" t="s">
        <v>16</v>
      </c>
      <c r="D328">
        <v>4.7471449999999997</v>
      </c>
      <c r="E328">
        <v>-74.036225999999999</v>
      </c>
      <c r="F328" s="1">
        <f t="shared" si="33"/>
        <v>307</v>
      </c>
      <c r="G328">
        <v>7194868164</v>
      </c>
      <c r="H328">
        <v>4.7471449999999997</v>
      </c>
      <c r="I328">
        <v>7194868164</v>
      </c>
      <c r="J328">
        <v>-74.036225999999999</v>
      </c>
    </row>
    <row r="329" spans="1:10" x14ac:dyDescent="0.25">
      <c r="A329">
        <v>7194863823</v>
      </c>
      <c r="B329">
        <v>24</v>
      </c>
      <c r="C329" t="s">
        <v>16</v>
      </c>
      <c r="D329">
        <v>4.7471579999999998</v>
      </c>
      <c r="E329">
        <v>-74.044473999999994</v>
      </c>
      <c r="F329" s="1">
        <f t="shared" si="33"/>
        <v>36</v>
      </c>
      <c r="G329">
        <v>7194863823</v>
      </c>
      <c r="H329">
        <v>4.7471579999999998</v>
      </c>
      <c r="I329">
        <v>7194863823</v>
      </c>
      <c r="J329">
        <v>-74.044473999999994</v>
      </c>
    </row>
    <row r="330" spans="1:10" x14ac:dyDescent="0.25">
      <c r="A330">
        <v>7194816240</v>
      </c>
      <c r="B330">
        <v>28</v>
      </c>
      <c r="C330" t="s">
        <v>16</v>
      </c>
      <c r="D330">
        <v>4.74803</v>
      </c>
      <c r="E330">
        <v>-74.162796</v>
      </c>
      <c r="F330" s="1">
        <f t="shared" si="33"/>
        <v>28</v>
      </c>
      <c r="G330">
        <v>7194816240</v>
      </c>
      <c r="H330">
        <v>4.74803</v>
      </c>
      <c r="I330">
        <v>7194816240</v>
      </c>
      <c r="J330">
        <v>-74.162796</v>
      </c>
    </row>
    <row r="331" spans="1:10" x14ac:dyDescent="0.25">
      <c r="A331">
        <v>7194865967</v>
      </c>
      <c r="B331">
        <v>18</v>
      </c>
      <c r="C331" t="s">
        <v>16</v>
      </c>
      <c r="D331">
        <v>4.7485499999999998</v>
      </c>
      <c r="E331">
        <v>-74.043736999999993</v>
      </c>
      <c r="F331" s="1">
        <f t="shared" si="33"/>
        <v>18</v>
      </c>
      <c r="G331">
        <v>7194865967</v>
      </c>
      <c r="H331">
        <v>4.7485499999999998</v>
      </c>
      <c r="I331">
        <v>7194865967</v>
      </c>
      <c r="J331">
        <v>-74.043736999999993</v>
      </c>
    </row>
    <row r="332" spans="1:10" x14ac:dyDescent="0.25">
      <c r="A332">
        <v>7194868151</v>
      </c>
      <c r="B332">
        <v>29</v>
      </c>
      <c r="C332" t="s">
        <v>16</v>
      </c>
      <c r="D332">
        <v>4.7494779999999999</v>
      </c>
      <c r="E332">
        <v>-74.038182000000006</v>
      </c>
      <c r="F332" s="1">
        <f t="shared" si="33"/>
        <v>29</v>
      </c>
      <c r="G332">
        <v>7194868151</v>
      </c>
      <c r="H332">
        <v>4.7494779999999999</v>
      </c>
      <c r="I332">
        <v>7194868151</v>
      </c>
      <c r="J332">
        <v>-74.038182000000006</v>
      </c>
    </row>
    <row r="333" spans="1:10" x14ac:dyDescent="0.25">
      <c r="A333">
        <v>7194855278</v>
      </c>
      <c r="B333">
        <v>12</v>
      </c>
      <c r="C333" t="s">
        <v>16</v>
      </c>
      <c r="D333">
        <v>4.7498659999999999</v>
      </c>
      <c r="E333">
        <v>-74.145450999999994</v>
      </c>
      <c r="F333" s="1">
        <f t="shared" si="33"/>
        <v>12</v>
      </c>
      <c r="G333">
        <v>7194855278</v>
      </c>
      <c r="H333">
        <v>4.7498659999999999</v>
      </c>
      <c r="I333">
        <v>7194855278</v>
      </c>
      <c r="J333">
        <v>-74.145450999999994</v>
      </c>
    </row>
    <row r="334" spans="1:10" x14ac:dyDescent="0.25">
      <c r="A334">
        <v>7194824295</v>
      </c>
      <c r="B334">
        <v>57</v>
      </c>
      <c r="C334" t="s">
        <v>16</v>
      </c>
      <c r="D334">
        <v>4.7501499999999997</v>
      </c>
      <c r="E334">
        <v>-74.065482000000003</v>
      </c>
      <c r="F334" s="1">
        <f t="shared" si="33"/>
        <v>66</v>
      </c>
      <c r="G334">
        <v>7194824295</v>
      </c>
      <c r="H334">
        <v>4.7501499999999997</v>
      </c>
      <c r="I334">
        <v>7194824295</v>
      </c>
      <c r="J334">
        <v>-74.065482000000003</v>
      </c>
    </row>
    <row r="335" spans="1:10" x14ac:dyDescent="0.25">
      <c r="A335">
        <v>7194867814</v>
      </c>
      <c r="B335">
        <v>66</v>
      </c>
      <c r="C335" t="s">
        <v>16</v>
      </c>
      <c r="D335">
        <v>4.7506029999999999</v>
      </c>
      <c r="E335">
        <v>-74.044379000000006</v>
      </c>
      <c r="F335" s="1">
        <f t="shared" si="33"/>
        <v>66</v>
      </c>
      <c r="G335">
        <v>7194867814</v>
      </c>
      <c r="H335">
        <v>4.7506029999999999</v>
      </c>
      <c r="I335">
        <v>7194867814</v>
      </c>
      <c r="J335">
        <v>-74.044379000000006</v>
      </c>
    </row>
    <row r="336" spans="1:10" x14ac:dyDescent="0.25">
      <c r="A336">
        <v>7194831426</v>
      </c>
      <c r="B336">
        <v>103</v>
      </c>
      <c r="C336" t="s">
        <v>16</v>
      </c>
      <c r="D336">
        <v>4.7573309999999998</v>
      </c>
      <c r="E336">
        <v>-74.137720999999999</v>
      </c>
      <c r="F336" s="1">
        <f t="shared" si="33"/>
        <v>103</v>
      </c>
      <c r="G336">
        <v>7194831426</v>
      </c>
      <c r="H336">
        <v>4.7573309999999998</v>
      </c>
      <c r="I336">
        <v>7194831426</v>
      </c>
      <c r="J336">
        <v>-74.137720999999999</v>
      </c>
    </row>
    <row r="337" spans="1:10" x14ac:dyDescent="0.25">
      <c r="A337">
        <v>7194866498</v>
      </c>
      <c r="B337">
        <v>43</v>
      </c>
      <c r="C337" t="s">
        <v>16</v>
      </c>
      <c r="D337">
        <v>4.7594339999999997</v>
      </c>
      <c r="E337">
        <v>-74.151770999999997</v>
      </c>
      <c r="F337" s="1">
        <f t="shared" si="33"/>
        <v>43</v>
      </c>
      <c r="G337">
        <v>7194866498</v>
      </c>
      <c r="H337">
        <v>4.7594339999999997</v>
      </c>
      <c r="I337">
        <v>7194866498</v>
      </c>
      <c r="J337">
        <v>-74.151770999999997</v>
      </c>
    </row>
    <row r="338" spans="1:10" x14ac:dyDescent="0.25">
      <c r="A338">
        <v>7194820452</v>
      </c>
      <c r="B338">
        <v>37</v>
      </c>
      <c r="C338" t="s">
        <v>16</v>
      </c>
      <c r="D338">
        <v>4.7607419999999996</v>
      </c>
      <c r="E338">
        <v>-74.059270999999995</v>
      </c>
      <c r="F338" s="1">
        <f t="shared" si="33"/>
        <v>37</v>
      </c>
      <c r="G338">
        <v>7194820452</v>
      </c>
      <c r="H338">
        <v>4.7607419999999996</v>
      </c>
      <c r="I338">
        <v>7194820452</v>
      </c>
      <c r="J338">
        <v>-74.059270999999995</v>
      </c>
    </row>
    <row r="339" spans="1:10" x14ac:dyDescent="0.25">
      <c r="A339">
        <v>7194730275</v>
      </c>
      <c r="B339">
        <v>8</v>
      </c>
      <c r="C339" t="s">
        <v>16</v>
      </c>
      <c r="D339">
        <v>4.7610479999999997</v>
      </c>
      <c r="E339">
        <v>-74.165386999999996</v>
      </c>
      <c r="F339" s="1">
        <f t="shared" si="33"/>
        <v>8</v>
      </c>
      <c r="G339">
        <v>7194730275</v>
      </c>
      <c r="H339">
        <v>4.7610479999999997</v>
      </c>
      <c r="I339">
        <v>7194730275</v>
      </c>
      <c r="J339">
        <v>-74.165386999999996</v>
      </c>
    </row>
    <row r="340" spans="1:10" x14ac:dyDescent="0.25">
      <c r="A340">
        <v>7194842188</v>
      </c>
      <c r="B340">
        <v>145</v>
      </c>
      <c r="C340" t="s">
        <v>16</v>
      </c>
      <c r="D340">
        <v>4.764716</v>
      </c>
      <c r="E340">
        <v>-74.178808000000004</v>
      </c>
      <c r="F340" s="1">
        <f t="shared" si="33"/>
        <v>145</v>
      </c>
      <c r="G340">
        <v>7194842188</v>
      </c>
      <c r="H340">
        <v>4.764716</v>
      </c>
      <c r="I340">
        <v>7194842188</v>
      </c>
      <c r="J340">
        <v>-74.178808000000004</v>
      </c>
    </row>
    <row r="341" spans="1:10" x14ac:dyDescent="0.25">
      <c r="A341">
        <v>7194855736</v>
      </c>
      <c r="B341">
        <v>500</v>
      </c>
      <c r="C341" t="s">
        <v>16</v>
      </c>
      <c r="D341">
        <v>4.7671979999999996</v>
      </c>
      <c r="E341">
        <v>-74.184166000000005</v>
      </c>
      <c r="F341" s="1">
        <f t="shared" si="33"/>
        <v>500</v>
      </c>
      <c r="G341">
        <v>7194855736</v>
      </c>
      <c r="H341">
        <v>4.7671979999999996</v>
      </c>
      <c r="I341">
        <v>7194855736</v>
      </c>
      <c r="J341">
        <v>-74.184166000000005</v>
      </c>
    </row>
    <row r="342" spans="1:10" x14ac:dyDescent="0.25">
      <c r="A342">
        <v>7194825918</v>
      </c>
      <c r="B342">
        <v>76</v>
      </c>
      <c r="C342" t="s">
        <v>16</v>
      </c>
      <c r="D342">
        <v>4.7682669999999998</v>
      </c>
      <c r="E342">
        <v>-74.145319000000001</v>
      </c>
      <c r="F342" s="1">
        <f t="shared" si="33"/>
        <v>139</v>
      </c>
      <c r="G342">
        <v>7194825918</v>
      </c>
      <c r="H342">
        <v>4.7682669999999998</v>
      </c>
      <c r="I342">
        <v>7194825918</v>
      </c>
      <c r="J342">
        <v>-74.145319000000001</v>
      </c>
    </row>
    <row r="343" spans="1:10" x14ac:dyDescent="0.25">
      <c r="A343">
        <v>7194865234</v>
      </c>
      <c r="B343">
        <v>62</v>
      </c>
      <c r="C343" t="s">
        <v>16</v>
      </c>
      <c r="D343">
        <v>4.7733090000000002</v>
      </c>
      <c r="E343">
        <v>-74.052640999999994</v>
      </c>
      <c r="F343" s="1">
        <f t="shared" si="33"/>
        <v>62</v>
      </c>
      <c r="G343">
        <v>7194865234</v>
      </c>
      <c r="H343">
        <v>4.7733090000000002</v>
      </c>
      <c r="I343">
        <v>7194865234</v>
      </c>
      <c r="J343">
        <v>-74.052640999999994</v>
      </c>
    </row>
    <row r="344" spans="1:10" x14ac:dyDescent="0.25">
      <c r="A344">
        <v>7194865820</v>
      </c>
      <c r="B344">
        <v>172</v>
      </c>
      <c r="C344" t="s">
        <v>16</v>
      </c>
      <c r="D344">
        <v>4.7753509999999997</v>
      </c>
      <c r="E344">
        <v>-74.14049</v>
      </c>
      <c r="F344" s="1">
        <f t="shared" si="33"/>
        <v>241</v>
      </c>
      <c r="G344">
        <v>7194865820</v>
      </c>
      <c r="H344">
        <v>4.7753509999999997</v>
      </c>
      <c r="I344">
        <v>7194865820</v>
      </c>
      <c r="J344">
        <v>-74.14049</v>
      </c>
    </row>
    <row r="345" spans="1:10" x14ac:dyDescent="0.25">
      <c r="A345">
        <v>7194821466</v>
      </c>
      <c r="B345">
        <v>39</v>
      </c>
      <c r="C345" t="s">
        <v>16</v>
      </c>
      <c r="D345">
        <v>4.7778539999999996</v>
      </c>
      <c r="E345">
        <v>-74.182815000000005</v>
      </c>
      <c r="F345" s="1">
        <f t="shared" si="33"/>
        <v>142</v>
      </c>
      <c r="G345">
        <v>7194821466</v>
      </c>
      <c r="H345">
        <v>4.7778539999999996</v>
      </c>
      <c r="I345">
        <v>7194821466</v>
      </c>
      <c r="J345">
        <v>-74.182815000000005</v>
      </c>
    </row>
    <row r="346" spans="1:10" x14ac:dyDescent="0.25">
      <c r="A346">
        <v>7194866232</v>
      </c>
      <c r="B346">
        <v>5</v>
      </c>
      <c r="C346" t="s">
        <v>16</v>
      </c>
      <c r="D346">
        <v>4.7783569999999997</v>
      </c>
      <c r="E346">
        <v>-74.140221999999994</v>
      </c>
      <c r="F346" s="1">
        <f t="shared" si="33"/>
        <v>17</v>
      </c>
      <c r="G346">
        <v>7194866232</v>
      </c>
      <c r="H346">
        <v>4.7783569999999997</v>
      </c>
      <c r="I346">
        <v>7194866232</v>
      </c>
      <c r="J346">
        <v>-74.140221999999994</v>
      </c>
    </row>
    <row r="347" spans="1:10" x14ac:dyDescent="0.25">
      <c r="A347">
        <v>7194859761</v>
      </c>
      <c r="B347">
        <v>81</v>
      </c>
      <c r="C347" t="s">
        <v>16</v>
      </c>
      <c r="D347">
        <v>4.780259</v>
      </c>
      <c r="E347">
        <v>-74.183404999999993</v>
      </c>
      <c r="F347" s="1">
        <f t="shared" si="33"/>
        <v>81</v>
      </c>
      <c r="G347">
        <v>7194859761</v>
      </c>
      <c r="H347">
        <v>4.780259</v>
      </c>
      <c r="I347">
        <v>7194859761</v>
      </c>
      <c r="J347">
        <v>-74.183404999999993</v>
      </c>
    </row>
    <row r="348" spans="1:10" x14ac:dyDescent="0.25">
      <c r="A348">
        <v>7194868217</v>
      </c>
      <c r="B348">
        <v>26</v>
      </c>
      <c r="C348" t="s">
        <v>16</v>
      </c>
      <c r="D348">
        <v>4.784198</v>
      </c>
      <c r="E348">
        <v>-74.043983999999995</v>
      </c>
      <c r="F348" s="1">
        <f t="shared" si="33"/>
        <v>29</v>
      </c>
      <c r="G348">
        <v>7194868217</v>
      </c>
      <c r="H348">
        <v>4.784198</v>
      </c>
      <c r="I348">
        <v>7194868217</v>
      </c>
      <c r="J348">
        <v>-74.043983999999995</v>
      </c>
    </row>
    <row r="349" spans="1:10" x14ac:dyDescent="0.25">
      <c r="A349">
        <v>7194841698</v>
      </c>
      <c r="B349">
        <v>6</v>
      </c>
      <c r="C349" t="s">
        <v>16</v>
      </c>
      <c r="D349">
        <v>4.7861789999999997</v>
      </c>
      <c r="E349">
        <v>-74.187524999999994</v>
      </c>
      <c r="F349" s="1">
        <f t="shared" si="33"/>
        <v>6</v>
      </c>
      <c r="G349">
        <v>7194841698</v>
      </c>
      <c r="H349">
        <v>4.7861789999999997</v>
      </c>
      <c r="I349">
        <v>7194841698</v>
      </c>
      <c r="J349">
        <v>-74.187524999999994</v>
      </c>
    </row>
    <row r="350" spans="1:10" x14ac:dyDescent="0.25">
      <c r="A350">
        <v>7194864087</v>
      </c>
      <c r="B350">
        <v>26</v>
      </c>
      <c r="C350" t="s">
        <v>16</v>
      </c>
      <c r="D350">
        <v>4.7930380000000001</v>
      </c>
      <c r="E350">
        <v>-74.04383</v>
      </c>
      <c r="F350" s="1">
        <f t="shared" si="33"/>
        <v>49</v>
      </c>
      <c r="G350">
        <v>7194864087</v>
      </c>
      <c r="H350">
        <v>4.7930380000000001</v>
      </c>
      <c r="I350">
        <v>7194864087</v>
      </c>
      <c r="J350">
        <v>-74.04383</v>
      </c>
    </row>
    <row r="351" spans="1:10" x14ac:dyDescent="0.25">
      <c r="A351">
        <v>7194818415</v>
      </c>
      <c r="B351">
        <v>32</v>
      </c>
      <c r="C351" t="s">
        <v>16</v>
      </c>
      <c r="D351">
        <v>4.7953270000000003</v>
      </c>
      <c r="E351">
        <v>-74.046931000000001</v>
      </c>
      <c r="F351" s="1">
        <f t="shared" si="33"/>
        <v>58</v>
      </c>
      <c r="G351">
        <v>7194818415</v>
      </c>
      <c r="H351">
        <v>4.7953270000000003</v>
      </c>
      <c r="I351">
        <v>7194818415</v>
      </c>
      <c r="J351">
        <v>-74.046931000000001</v>
      </c>
    </row>
    <row r="352" spans="1:10" x14ac:dyDescent="0.25">
      <c r="A352">
        <v>7194869635</v>
      </c>
      <c r="B352">
        <v>112</v>
      </c>
      <c r="C352" t="s">
        <v>16</v>
      </c>
      <c r="D352">
        <v>4.7961859999999996</v>
      </c>
      <c r="E352">
        <v>-74.190698999999995</v>
      </c>
      <c r="F352" s="1">
        <f t="shared" si="33"/>
        <v>119</v>
      </c>
      <c r="G352">
        <v>7194869635</v>
      </c>
      <c r="H352">
        <v>4.7961859999999996</v>
      </c>
      <c r="I352">
        <v>7194869635</v>
      </c>
      <c r="J352">
        <v>-74.190698999999995</v>
      </c>
    </row>
    <row r="353" spans="1:10" x14ac:dyDescent="0.25">
      <c r="A353">
        <v>7194866333</v>
      </c>
      <c r="B353">
        <v>383</v>
      </c>
      <c r="C353" t="s">
        <v>16</v>
      </c>
      <c r="D353">
        <v>4.7967040000000001</v>
      </c>
      <c r="E353">
        <v>-74.210752999999997</v>
      </c>
      <c r="F353" s="1">
        <f t="shared" si="33"/>
        <v>409</v>
      </c>
      <c r="G353">
        <v>7194866333</v>
      </c>
      <c r="H353">
        <v>4.7967040000000001</v>
      </c>
      <c r="I353">
        <v>7194866333</v>
      </c>
      <c r="J353">
        <v>-74.210752999999997</v>
      </c>
    </row>
    <row r="354" spans="1:10" x14ac:dyDescent="0.25">
      <c r="A354">
        <v>7194863214</v>
      </c>
      <c r="B354">
        <v>9</v>
      </c>
      <c r="C354" t="s">
        <v>16</v>
      </c>
      <c r="D354">
        <v>4.8022340000000003</v>
      </c>
      <c r="E354">
        <v>-74.044822999999994</v>
      </c>
      <c r="F354" s="1">
        <f t="shared" si="33"/>
        <v>88</v>
      </c>
      <c r="G354">
        <v>7194863214</v>
      </c>
      <c r="H354">
        <v>4.8022340000000003</v>
      </c>
      <c r="I354">
        <v>7194863214</v>
      </c>
      <c r="J354">
        <v>-74.044822999999994</v>
      </c>
    </row>
    <row r="355" spans="1:10" x14ac:dyDescent="0.25">
      <c r="A355">
        <v>7194863347</v>
      </c>
      <c r="B355">
        <v>12</v>
      </c>
      <c r="C355" t="s">
        <v>16</v>
      </c>
      <c r="D355">
        <v>4.807976</v>
      </c>
      <c r="E355">
        <v>-74.069312999999994</v>
      </c>
      <c r="F355" s="1">
        <f t="shared" si="33"/>
        <v>19</v>
      </c>
      <c r="G355">
        <v>7194863347</v>
      </c>
      <c r="H355">
        <v>4.807976</v>
      </c>
      <c r="I355">
        <v>7194863347</v>
      </c>
      <c r="J355">
        <v>-74.069312999999994</v>
      </c>
    </row>
    <row r="356" spans="1:10" x14ac:dyDescent="0.25">
      <c r="A356">
        <v>7194867174</v>
      </c>
      <c r="B356">
        <v>15</v>
      </c>
      <c r="C356" t="s">
        <v>16</v>
      </c>
      <c r="D356">
        <v>4.8547000000000002</v>
      </c>
      <c r="E356">
        <v>-74.066468</v>
      </c>
      <c r="F356" s="1">
        <f t="shared" si="33"/>
        <v>15</v>
      </c>
      <c r="G356">
        <v>7194867174</v>
      </c>
      <c r="H356">
        <v>4.8547000000000002</v>
      </c>
      <c r="I356">
        <v>7194867174</v>
      </c>
      <c r="J356">
        <v>-74.066468</v>
      </c>
    </row>
    <row r="357" spans="1:10" x14ac:dyDescent="0.25">
      <c r="A357">
        <v>7194865825</v>
      </c>
      <c r="B357">
        <v>10</v>
      </c>
      <c r="C357" t="s">
        <v>16</v>
      </c>
      <c r="D357">
        <v>4.865564</v>
      </c>
      <c r="E357">
        <v>-74.039570999999995</v>
      </c>
      <c r="F357" s="1">
        <f t="shared" si="33"/>
        <v>10</v>
      </c>
      <c r="G357">
        <v>7194865825</v>
      </c>
      <c r="H357">
        <v>4.865564</v>
      </c>
      <c r="I357">
        <v>7194865825</v>
      </c>
      <c r="J357">
        <v>-74.039570999999995</v>
      </c>
    </row>
    <row r="358" spans="1:10" x14ac:dyDescent="0.25">
      <c r="A358">
        <v>7194824245</v>
      </c>
      <c r="B358">
        <v>145</v>
      </c>
      <c r="C358" t="s">
        <v>16</v>
      </c>
      <c r="D358">
        <v>4.8659999999999997</v>
      </c>
      <c r="E358">
        <v>-73.955799999999996</v>
      </c>
      <c r="F358" s="1">
        <f t="shared" si="33"/>
        <v>147</v>
      </c>
      <c r="G358">
        <v>7194824245</v>
      </c>
      <c r="H358">
        <v>4.8659999999999997</v>
      </c>
      <c r="I358">
        <v>7194824245</v>
      </c>
      <c r="J358">
        <v>-73.955799999999996</v>
      </c>
    </row>
    <row r="359" spans="1:10" x14ac:dyDescent="0.25">
      <c r="A359">
        <v>7194816053</v>
      </c>
      <c r="B359">
        <v>2</v>
      </c>
      <c r="C359" t="s">
        <v>16</v>
      </c>
      <c r="D359">
        <v>4.8755119999999996</v>
      </c>
      <c r="E359">
        <v>-74.039322999999996</v>
      </c>
      <c r="F359" s="1">
        <f t="shared" si="33"/>
        <v>12</v>
      </c>
      <c r="G359">
        <v>7194816053</v>
      </c>
      <c r="H359">
        <v>4.8755119999999996</v>
      </c>
      <c r="I359">
        <v>7194816053</v>
      </c>
      <c r="J359">
        <v>-74.039322999999996</v>
      </c>
    </row>
    <row r="360" spans="1:10" x14ac:dyDescent="0.25">
      <c r="A360">
        <v>7194867930</v>
      </c>
      <c r="B360">
        <v>54</v>
      </c>
      <c r="C360" t="s">
        <v>16</v>
      </c>
      <c r="D360">
        <v>4.8871969999999996</v>
      </c>
      <c r="E360">
        <v>-73.963700000000003</v>
      </c>
      <c r="F360" s="1">
        <f t="shared" si="33"/>
        <v>156</v>
      </c>
      <c r="G360">
        <v>7194867930</v>
      </c>
      <c r="H360">
        <v>4.8871969999999996</v>
      </c>
      <c r="I360">
        <v>7194867930</v>
      </c>
      <c r="J360">
        <v>-73.963700000000003</v>
      </c>
    </row>
    <row r="361" spans="1:10" x14ac:dyDescent="0.25">
      <c r="A361">
        <v>7194863094</v>
      </c>
      <c r="B361">
        <v>4</v>
      </c>
      <c r="C361" t="s">
        <v>16</v>
      </c>
      <c r="D361">
        <v>4.8997640000000002</v>
      </c>
      <c r="E361">
        <v>-74.038798</v>
      </c>
      <c r="F361" s="1">
        <f t="shared" si="33"/>
        <v>9</v>
      </c>
      <c r="G361">
        <v>7194863094</v>
      </c>
      <c r="H361">
        <v>4.8997640000000002</v>
      </c>
      <c r="I361">
        <v>7194863094</v>
      </c>
      <c r="J361">
        <v>-74.038798</v>
      </c>
    </row>
    <row r="362" spans="1:10" x14ac:dyDescent="0.25">
      <c r="A362">
        <v>7194869161</v>
      </c>
      <c r="B362">
        <v>4</v>
      </c>
      <c r="C362" t="s">
        <v>17</v>
      </c>
      <c r="D362">
        <v>4.543628</v>
      </c>
      <c r="E362">
        <v>-74.089622000000006</v>
      </c>
      <c r="F362" s="1">
        <f t="shared" si="33"/>
        <v>5</v>
      </c>
      <c r="G362">
        <v>7194869161</v>
      </c>
      <c r="H362">
        <v>4.543628</v>
      </c>
      <c r="I362">
        <v>7194869161</v>
      </c>
      <c r="J362">
        <v>-74.089622000000006</v>
      </c>
    </row>
    <row r="363" spans="1:10" x14ac:dyDescent="0.25">
      <c r="A363">
        <v>7194868640</v>
      </c>
      <c r="B363">
        <v>3</v>
      </c>
      <c r="C363" t="s">
        <v>17</v>
      </c>
      <c r="D363">
        <v>4.5765349999999998</v>
      </c>
      <c r="E363">
        <v>-74.091116</v>
      </c>
      <c r="F363" s="1">
        <f t="shared" si="33"/>
        <v>3</v>
      </c>
      <c r="G363">
        <v>7194868640</v>
      </c>
      <c r="H363">
        <v>4.5765349999999998</v>
      </c>
      <c r="I363">
        <v>7194868640</v>
      </c>
      <c r="J363">
        <v>-74.091116</v>
      </c>
    </row>
    <row r="364" spans="1:10" x14ac:dyDescent="0.25">
      <c r="A364">
        <v>7194818312</v>
      </c>
      <c r="B364">
        <v>12</v>
      </c>
      <c r="C364" t="s">
        <v>17</v>
      </c>
      <c r="D364">
        <v>4.5831359999999997</v>
      </c>
      <c r="E364">
        <v>-74.105939000000006</v>
      </c>
      <c r="F364" s="1">
        <f t="shared" si="33"/>
        <v>127</v>
      </c>
      <c r="G364">
        <v>7194818312</v>
      </c>
      <c r="H364">
        <v>4.5831359999999997</v>
      </c>
      <c r="I364">
        <v>7194818312</v>
      </c>
      <c r="J364">
        <v>-74.105939000000006</v>
      </c>
    </row>
    <row r="365" spans="1:10" x14ac:dyDescent="0.25">
      <c r="A365">
        <v>7194865029</v>
      </c>
      <c r="B365">
        <v>20</v>
      </c>
      <c r="C365" t="s">
        <v>17</v>
      </c>
      <c r="D365">
        <v>4.5965499999999997</v>
      </c>
      <c r="E365">
        <v>-74.067683000000002</v>
      </c>
      <c r="F365" s="1">
        <f t="shared" si="33"/>
        <v>43</v>
      </c>
      <c r="G365">
        <v>7194865029</v>
      </c>
      <c r="H365">
        <v>4.5965499999999997</v>
      </c>
      <c r="I365">
        <v>7194865029</v>
      </c>
      <c r="J365">
        <v>-74.067683000000002</v>
      </c>
    </row>
    <row r="366" spans="1:10" x14ac:dyDescent="0.25">
      <c r="A366">
        <v>7194864864</v>
      </c>
      <c r="B366">
        <v>20</v>
      </c>
      <c r="C366" t="s">
        <v>17</v>
      </c>
      <c r="D366">
        <v>4.5978690000000002</v>
      </c>
      <c r="E366">
        <v>-74.067409999999995</v>
      </c>
      <c r="F366" s="1">
        <f t="shared" si="33"/>
        <v>20</v>
      </c>
      <c r="G366">
        <v>7194864864</v>
      </c>
      <c r="H366">
        <v>4.5978690000000002</v>
      </c>
      <c r="I366">
        <v>7194864864</v>
      </c>
      <c r="J366">
        <v>-74.067409999999995</v>
      </c>
    </row>
    <row r="367" spans="1:10" x14ac:dyDescent="0.25">
      <c r="A367">
        <v>7194858481</v>
      </c>
      <c r="B367">
        <v>2</v>
      </c>
      <c r="C367" t="s">
        <v>17</v>
      </c>
      <c r="D367">
        <v>4.6012570000000004</v>
      </c>
      <c r="E367">
        <v>-74.074725999999998</v>
      </c>
      <c r="F367" s="1">
        <f t="shared" si="33"/>
        <v>39</v>
      </c>
      <c r="G367">
        <v>7194858481</v>
      </c>
      <c r="H367">
        <v>4.6012570000000004</v>
      </c>
      <c r="I367">
        <v>7194858481</v>
      </c>
      <c r="J367">
        <v>-74.074725999999998</v>
      </c>
    </row>
    <row r="368" spans="1:10" x14ac:dyDescent="0.25">
      <c r="A368">
        <v>7194823514</v>
      </c>
      <c r="B368">
        <v>7</v>
      </c>
      <c r="C368" t="s">
        <v>17</v>
      </c>
      <c r="D368">
        <v>4.6037100000000004</v>
      </c>
      <c r="E368">
        <v>-74.086907999999994</v>
      </c>
      <c r="F368" s="1">
        <f t="shared" si="33"/>
        <v>7</v>
      </c>
      <c r="G368">
        <v>7194823514</v>
      </c>
      <c r="H368">
        <v>4.6037100000000004</v>
      </c>
      <c r="I368">
        <v>7194823514</v>
      </c>
      <c r="J368">
        <v>-74.086907999999994</v>
      </c>
    </row>
    <row r="369" spans="1:10" x14ac:dyDescent="0.25">
      <c r="A369">
        <v>7194862671</v>
      </c>
      <c r="B369">
        <v>10</v>
      </c>
      <c r="C369" t="s">
        <v>17</v>
      </c>
      <c r="D369">
        <v>4.6292799999999996</v>
      </c>
      <c r="E369">
        <v>-74.105988999999994</v>
      </c>
      <c r="F369" s="1">
        <f t="shared" si="33"/>
        <v>171</v>
      </c>
      <c r="G369">
        <v>7194862671</v>
      </c>
      <c r="H369">
        <v>4.6292799999999996</v>
      </c>
      <c r="I369">
        <v>7194862671</v>
      </c>
      <c r="J369">
        <v>-74.105988999999994</v>
      </c>
    </row>
    <row r="370" spans="1:10" x14ac:dyDescent="0.25">
      <c r="A370">
        <v>7194856815</v>
      </c>
      <c r="B370">
        <v>54</v>
      </c>
      <c r="C370" t="s">
        <v>17</v>
      </c>
      <c r="D370">
        <v>4.6314650000000004</v>
      </c>
      <c r="E370">
        <v>-74.155158999999998</v>
      </c>
      <c r="F370" s="1">
        <f t="shared" si="33"/>
        <v>54</v>
      </c>
      <c r="G370">
        <v>7194856815</v>
      </c>
      <c r="H370">
        <v>4.6314650000000004</v>
      </c>
      <c r="I370">
        <v>7194856815</v>
      </c>
      <c r="J370">
        <v>-74.155158999999998</v>
      </c>
    </row>
    <row r="371" spans="1:10" x14ac:dyDescent="0.25">
      <c r="A371">
        <v>7194815329</v>
      </c>
      <c r="B371">
        <v>12</v>
      </c>
      <c r="C371" t="s">
        <v>17</v>
      </c>
      <c r="D371">
        <v>4.6435389999999996</v>
      </c>
      <c r="E371">
        <v>-74.115739000000005</v>
      </c>
      <c r="F371" s="1">
        <f t="shared" si="33"/>
        <v>19</v>
      </c>
      <c r="G371">
        <v>7194815329</v>
      </c>
      <c r="H371">
        <v>4.6435389999999996</v>
      </c>
      <c r="I371">
        <v>7194815329</v>
      </c>
      <c r="J371">
        <v>-74.115739000000005</v>
      </c>
    </row>
    <row r="372" spans="1:10" x14ac:dyDescent="0.25">
      <c r="A372">
        <v>7194874166</v>
      </c>
      <c r="B372">
        <v>10</v>
      </c>
      <c r="C372" t="s">
        <v>17</v>
      </c>
      <c r="D372">
        <v>4.6438059999999997</v>
      </c>
      <c r="E372">
        <v>-74.069458999999995</v>
      </c>
      <c r="F372" s="1">
        <f t="shared" si="33"/>
        <v>18</v>
      </c>
      <c r="G372">
        <v>7194874166</v>
      </c>
      <c r="H372">
        <v>4.6438059999999997</v>
      </c>
      <c r="I372">
        <v>7194874166</v>
      </c>
      <c r="J372">
        <v>-74.069458999999995</v>
      </c>
    </row>
    <row r="373" spans="1:10" x14ac:dyDescent="0.25">
      <c r="A373">
        <v>7194858461</v>
      </c>
      <c r="B373">
        <v>9</v>
      </c>
      <c r="C373" t="s">
        <v>17</v>
      </c>
      <c r="D373">
        <v>4.6540350000000004</v>
      </c>
      <c r="E373">
        <v>-74.043012000000004</v>
      </c>
      <c r="F373" s="1">
        <f t="shared" si="33"/>
        <v>109</v>
      </c>
      <c r="G373">
        <v>7194858461</v>
      </c>
      <c r="H373">
        <v>4.6540350000000004</v>
      </c>
      <c r="I373">
        <v>7194858461</v>
      </c>
      <c r="J373">
        <v>-74.043012000000004</v>
      </c>
    </row>
    <row r="374" spans="1:10" x14ac:dyDescent="0.25">
      <c r="A374">
        <v>7194871051</v>
      </c>
      <c r="B374">
        <v>4</v>
      </c>
      <c r="C374" t="s">
        <v>17</v>
      </c>
      <c r="D374">
        <v>4.6562770000000002</v>
      </c>
      <c r="E374">
        <v>-74.075539000000006</v>
      </c>
      <c r="F374" s="1">
        <f t="shared" si="33"/>
        <v>5</v>
      </c>
      <c r="G374">
        <v>7194871051</v>
      </c>
      <c r="H374">
        <v>4.6562770000000002</v>
      </c>
      <c r="I374">
        <v>7194871051</v>
      </c>
      <c r="J374">
        <v>-74.075539000000006</v>
      </c>
    </row>
    <row r="375" spans="1:10" x14ac:dyDescent="0.25">
      <c r="A375">
        <v>7194866155</v>
      </c>
      <c r="B375">
        <v>9</v>
      </c>
      <c r="C375" t="s">
        <v>17</v>
      </c>
      <c r="D375">
        <v>4.662871</v>
      </c>
      <c r="E375">
        <v>-74.052481999999998</v>
      </c>
      <c r="F375" s="1">
        <f t="shared" si="33"/>
        <v>60</v>
      </c>
      <c r="G375">
        <v>7194866155</v>
      </c>
      <c r="H375">
        <v>4.662871</v>
      </c>
      <c r="I375">
        <v>7194866155</v>
      </c>
      <c r="J375">
        <v>-74.052481999999998</v>
      </c>
    </row>
    <row r="376" spans="1:10" x14ac:dyDescent="0.25">
      <c r="A376">
        <v>7194869486</v>
      </c>
      <c r="B376">
        <v>18</v>
      </c>
      <c r="C376" t="s">
        <v>17</v>
      </c>
      <c r="D376">
        <v>4.6712829999999999</v>
      </c>
      <c r="E376">
        <v>-74.081180000000003</v>
      </c>
      <c r="F376" s="1">
        <f t="shared" si="33"/>
        <v>118</v>
      </c>
      <c r="G376">
        <v>7194869486</v>
      </c>
      <c r="H376">
        <v>4.6712829999999999</v>
      </c>
      <c r="I376">
        <v>7194869486</v>
      </c>
      <c r="J376">
        <v>-74.081180000000003</v>
      </c>
    </row>
    <row r="377" spans="1:10" x14ac:dyDescent="0.25">
      <c r="A377">
        <v>7194873485</v>
      </c>
      <c r="B377">
        <v>10</v>
      </c>
      <c r="C377" t="s">
        <v>17</v>
      </c>
      <c r="D377">
        <v>4.6733310000000001</v>
      </c>
      <c r="E377">
        <v>-74.053589000000002</v>
      </c>
      <c r="F377" s="1">
        <f t="shared" si="33"/>
        <v>54</v>
      </c>
      <c r="G377">
        <v>7194873485</v>
      </c>
      <c r="H377">
        <v>4.6733310000000001</v>
      </c>
      <c r="I377">
        <v>7194873485</v>
      </c>
      <c r="J377">
        <v>-74.053589000000002</v>
      </c>
    </row>
    <row r="378" spans="1:10" x14ac:dyDescent="0.25">
      <c r="A378">
        <v>7194867721</v>
      </c>
      <c r="B378">
        <v>23</v>
      </c>
      <c r="C378" t="s">
        <v>17</v>
      </c>
      <c r="D378">
        <v>4.6772159999999996</v>
      </c>
      <c r="E378">
        <v>-74.137641000000002</v>
      </c>
      <c r="F378" s="1">
        <f t="shared" si="33"/>
        <v>911</v>
      </c>
      <c r="G378">
        <v>7194867721</v>
      </c>
      <c r="H378">
        <v>4.6772159999999996</v>
      </c>
      <c r="I378">
        <v>7194867721</v>
      </c>
      <c r="J378">
        <v>-74.137641000000002</v>
      </c>
    </row>
    <row r="379" spans="1:10" x14ac:dyDescent="0.25">
      <c r="A379">
        <v>7194831213</v>
      </c>
      <c r="B379">
        <v>6</v>
      </c>
      <c r="C379" t="s">
        <v>17</v>
      </c>
      <c r="D379">
        <v>4.6886400000000004</v>
      </c>
      <c r="E379">
        <v>-74.048338000000001</v>
      </c>
      <c r="F379" s="1">
        <f t="shared" si="33"/>
        <v>90</v>
      </c>
      <c r="G379">
        <v>7194831213</v>
      </c>
      <c r="H379">
        <v>4.6886400000000004</v>
      </c>
      <c r="I379">
        <v>7194831213</v>
      </c>
      <c r="J379">
        <v>-74.048338000000001</v>
      </c>
    </row>
    <row r="380" spans="1:10" x14ac:dyDescent="0.25">
      <c r="A380">
        <v>7194804424</v>
      </c>
      <c r="B380">
        <v>258</v>
      </c>
      <c r="C380" t="s">
        <v>17</v>
      </c>
      <c r="D380">
        <v>4.689095</v>
      </c>
      <c r="E380">
        <v>-74.131162000000003</v>
      </c>
      <c r="F380" s="1">
        <f t="shared" si="33"/>
        <v>258</v>
      </c>
      <c r="G380">
        <v>7194804424</v>
      </c>
      <c r="H380">
        <v>4.689095</v>
      </c>
      <c r="I380">
        <v>7194804424</v>
      </c>
      <c r="J380">
        <v>-74.131162000000003</v>
      </c>
    </row>
    <row r="381" spans="1:10" x14ac:dyDescent="0.25">
      <c r="A381">
        <v>7194860377</v>
      </c>
      <c r="B381">
        <v>14</v>
      </c>
      <c r="C381" t="s">
        <v>17</v>
      </c>
      <c r="D381">
        <v>4.6924999999999999</v>
      </c>
      <c r="E381">
        <v>-74.068284000000006</v>
      </c>
      <c r="F381" s="1">
        <f t="shared" si="33"/>
        <v>47</v>
      </c>
      <c r="G381">
        <v>7194860377</v>
      </c>
      <c r="H381">
        <v>4.6924999999999999</v>
      </c>
      <c r="I381">
        <v>7194860377</v>
      </c>
      <c r="J381">
        <v>-74.068284000000006</v>
      </c>
    </row>
    <row r="382" spans="1:10" x14ac:dyDescent="0.25">
      <c r="A382">
        <v>7194859808</v>
      </c>
      <c r="B382">
        <v>9</v>
      </c>
      <c r="C382" t="s">
        <v>17</v>
      </c>
      <c r="D382">
        <v>4.696326</v>
      </c>
      <c r="E382">
        <v>-74.143739999999994</v>
      </c>
      <c r="F382" s="1">
        <f t="shared" si="33"/>
        <v>89</v>
      </c>
      <c r="G382">
        <v>7194859808</v>
      </c>
      <c r="H382">
        <v>4.696326</v>
      </c>
      <c r="I382">
        <v>7194859808</v>
      </c>
      <c r="J382">
        <v>-74.143739999999994</v>
      </c>
    </row>
    <row r="383" spans="1:10" x14ac:dyDescent="0.25">
      <c r="A383">
        <v>7194838083</v>
      </c>
      <c r="B383">
        <v>2</v>
      </c>
      <c r="C383" t="s">
        <v>17</v>
      </c>
      <c r="D383">
        <v>4.7063329999999999</v>
      </c>
      <c r="E383">
        <v>-74.050922999999997</v>
      </c>
      <c r="F383" s="1">
        <f t="shared" si="33"/>
        <v>139</v>
      </c>
      <c r="G383">
        <v>7194838083</v>
      </c>
      <c r="H383">
        <v>4.7063329999999999</v>
      </c>
      <c r="I383">
        <v>7194838083</v>
      </c>
      <c r="J383">
        <v>-74.050922999999997</v>
      </c>
    </row>
    <row r="384" spans="1:10" x14ac:dyDescent="0.25">
      <c r="A384">
        <v>7194867614</v>
      </c>
      <c r="B384">
        <v>13</v>
      </c>
      <c r="C384" t="s">
        <v>17</v>
      </c>
      <c r="D384">
        <v>4.7113240000000003</v>
      </c>
      <c r="E384">
        <v>-74.032477</v>
      </c>
      <c r="F384" s="1">
        <f t="shared" si="33"/>
        <v>42</v>
      </c>
      <c r="G384">
        <v>7194867614</v>
      </c>
      <c r="H384">
        <v>4.7113240000000003</v>
      </c>
      <c r="I384">
        <v>7194867614</v>
      </c>
      <c r="J384">
        <v>-74.032477</v>
      </c>
    </row>
    <row r="385" spans="1:10" x14ac:dyDescent="0.25">
      <c r="A385">
        <v>7194864728</v>
      </c>
      <c r="B385">
        <v>12</v>
      </c>
      <c r="C385" t="s">
        <v>17</v>
      </c>
      <c r="D385">
        <v>4.7152190000000003</v>
      </c>
      <c r="E385">
        <v>-74.216830000000002</v>
      </c>
      <c r="F385" s="1">
        <f t="shared" si="33"/>
        <v>44</v>
      </c>
      <c r="G385">
        <v>7194864728</v>
      </c>
      <c r="H385">
        <v>4.7152190000000003</v>
      </c>
      <c r="I385">
        <v>7194864728</v>
      </c>
      <c r="J385">
        <v>-74.216830000000002</v>
      </c>
    </row>
    <row r="386" spans="1:10" x14ac:dyDescent="0.25">
      <c r="A386">
        <v>7194862957</v>
      </c>
      <c r="B386">
        <v>14</v>
      </c>
      <c r="C386" t="s">
        <v>17</v>
      </c>
      <c r="D386">
        <v>4.7178300000000002</v>
      </c>
      <c r="E386">
        <v>-74.044098000000005</v>
      </c>
      <c r="F386" s="1">
        <f t="shared" si="33"/>
        <v>26</v>
      </c>
      <c r="G386">
        <v>7194862957</v>
      </c>
      <c r="H386">
        <v>4.7178300000000002</v>
      </c>
      <c r="I386">
        <v>7194862957</v>
      </c>
      <c r="J386">
        <v>-74.044098000000005</v>
      </c>
    </row>
    <row r="387" spans="1:10" x14ac:dyDescent="0.25">
      <c r="A387">
        <v>7194863853</v>
      </c>
      <c r="B387">
        <v>15</v>
      </c>
      <c r="C387" t="s">
        <v>17</v>
      </c>
      <c r="D387">
        <v>4.7324999999999999</v>
      </c>
      <c r="E387">
        <v>-74.065488000000002</v>
      </c>
      <c r="F387" s="1">
        <f t="shared" ref="F387:F403" si="34">SUMIFS($B$2:$B$403, $A$2:$A$403, $A387)</f>
        <v>317</v>
      </c>
      <c r="G387">
        <v>7194863853</v>
      </c>
      <c r="H387">
        <v>4.7324999999999999</v>
      </c>
      <c r="I387">
        <v>7194863853</v>
      </c>
      <c r="J387">
        <v>-74.065488000000002</v>
      </c>
    </row>
    <row r="388" spans="1:10" x14ac:dyDescent="0.25">
      <c r="A388">
        <v>7194781665</v>
      </c>
      <c r="B388">
        <v>9</v>
      </c>
      <c r="C388" t="s">
        <v>17</v>
      </c>
      <c r="D388">
        <v>4.7357110000000002</v>
      </c>
      <c r="E388">
        <v>-74.270556999999997</v>
      </c>
      <c r="F388" s="1">
        <f t="shared" si="34"/>
        <v>28</v>
      </c>
      <c r="G388">
        <v>7194781665</v>
      </c>
      <c r="H388">
        <v>4.7357110000000002</v>
      </c>
      <c r="I388">
        <v>7194781665</v>
      </c>
      <c r="J388">
        <v>-74.270556999999997</v>
      </c>
    </row>
    <row r="389" spans="1:10" x14ac:dyDescent="0.25">
      <c r="A389">
        <v>7194839772</v>
      </c>
      <c r="B389">
        <v>3</v>
      </c>
      <c r="C389" t="s">
        <v>17</v>
      </c>
      <c r="D389">
        <v>4.7387600000000001</v>
      </c>
      <c r="E389">
        <v>-74.137321</v>
      </c>
      <c r="F389" s="1">
        <f t="shared" si="34"/>
        <v>3</v>
      </c>
      <c r="G389">
        <v>7194839772</v>
      </c>
      <c r="H389">
        <v>4.7387600000000001</v>
      </c>
      <c r="I389">
        <v>7194839772</v>
      </c>
      <c r="J389">
        <v>-74.137321</v>
      </c>
    </row>
    <row r="390" spans="1:10" x14ac:dyDescent="0.25">
      <c r="A390">
        <v>7194860803</v>
      </c>
      <c r="B390">
        <v>21</v>
      </c>
      <c r="C390" t="s">
        <v>17</v>
      </c>
      <c r="D390">
        <v>4.7433290000000001</v>
      </c>
      <c r="E390">
        <v>-74.042948999999993</v>
      </c>
      <c r="F390" s="1">
        <f t="shared" si="34"/>
        <v>21</v>
      </c>
      <c r="G390">
        <v>7194860803</v>
      </c>
      <c r="H390">
        <v>4.7433290000000001</v>
      </c>
      <c r="I390">
        <v>7194860803</v>
      </c>
      <c r="J390">
        <v>-74.042948999999993</v>
      </c>
    </row>
    <row r="391" spans="1:10" x14ac:dyDescent="0.25">
      <c r="A391">
        <v>7194824295</v>
      </c>
      <c r="B391">
        <v>9</v>
      </c>
      <c r="C391" t="s">
        <v>17</v>
      </c>
      <c r="D391">
        <v>4.7501499999999997</v>
      </c>
      <c r="E391">
        <v>-74.065482000000003</v>
      </c>
      <c r="F391" s="1">
        <f t="shared" si="34"/>
        <v>66</v>
      </c>
      <c r="G391">
        <v>7194824295</v>
      </c>
      <c r="H391">
        <v>4.7501499999999997</v>
      </c>
      <c r="I391">
        <v>7194824295</v>
      </c>
      <c r="J391">
        <v>-74.065482000000003</v>
      </c>
    </row>
    <row r="392" spans="1:10" x14ac:dyDescent="0.25">
      <c r="A392">
        <v>7194865489</v>
      </c>
      <c r="B392">
        <v>24</v>
      </c>
      <c r="C392" t="s">
        <v>17</v>
      </c>
      <c r="D392">
        <v>4.752472</v>
      </c>
      <c r="E392">
        <v>-74.052105999999995</v>
      </c>
      <c r="F392" s="1">
        <f t="shared" si="34"/>
        <v>25</v>
      </c>
      <c r="G392">
        <v>7194865489</v>
      </c>
      <c r="H392">
        <v>4.752472</v>
      </c>
      <c r="I392">
        <v>7194865489</v>
      </c>
      <c r="J392">
        <v>-74.052105999999995</v>
      </c>
    </row>
    <row r="393" spans="1:10" x14ac:dyDescent="0.25">
      <c r="A393">
        <v>7194839041</v>
      </c>
      <c r="B393">
        <v>3</v>
      </c>
      <c r="C393" t="s">
        <v>17</v>
      </c>
      <c r="D393">
        <v>4.7560450000000003</v>
      </c>
      <c r="E393">
        <v>-74.135349000000005</v>
      </c>
      <c r="F393" s="1">
        <f t="shared" si="34"/>
        <v>31</v>
      </c>
      <c r="G393">
        <v>7194839041</v>
      </c>
      <c r="H393">
        <v>4.7560450000000003</v>
      </c>
      <c r="I393">
        <v>7194839041</v>
      </c>
      <c r="J393">
        <v>-74.135349000000005</v>
      </c>
    </row>
    <row r="394" spans="1:10" x14ac:dyDescent="0.25">
      <c r="A394">
        <v>7194865758</v>
      </c>
      <c r="B394">
        <v>10</v>
      </c>
      <c r="C394" t="s">
        <v>17</v>
      </c>
      <c r="D394">
        <v>4.7607419999999996</v>
      </c>
      <c r="E394">
        <v>-74.059270999999995</v>
      </c>
      <c r="F394" s="1">
        <f t="shared" si="34"/>
        <v>10</v>
      </c>
      <c r="G394">
        <v>7194865758</v>
      </c>
      <c r="H394">
        <v>4.7607419999999996</v>
      </c>
      <c r="I394">
        <v>7194865758</v>
      </c>
      <c r="J394">
        <v>-74.059270999999995</v>
      </c>
    </row>
    <row r="395" spans="1:10" x14ac:dyDescent="0.25">
      <c r="A395">
        <v>7194825918</v>
      </c>
      <c r="B395">
        <v>39</v>
      </c>
      <c r="C395" t="s">
        <v>17</v>
      </c>
      <c r="D395">
        <v>4.7682669999999998</v>
      </c>
      <c r="E395">
        <v>-74.145319000000001</v>
      </c>
      <c r="F395" s="1">
        <f t="shared" si="34"/>
        <v>139</v>
      </c>
      <c r="G395">
        <v>7194825918</v>
      </c>
      <c r="H395">
        <v>4.7682669999999998</v>
      </c>
      <c r="I395">
        <v>7194825918</v>
      </c>
      <c r="J395">
        <v>-74.145319000000001</v>
      </c>
    </row>
    <row r="396" spans="1:10" x14ac:dyDescent="0.25">
      <c r="A396">
        <v>7194869046</v>
      </c>
      <c r="B396">
        <v>9</v>
      </c>
      <c r="C396" t="s">
        <v>17</v>
      </c>
      <c r="D396">
        <v>4.7861789999999997</v>
      </c>
      <c r="E396">
        <v>-74.187524999999994</v>
      </c>
      <c r="F396" s="1">
        <f t="shared" si="34"/>
        <v>9</v>
      </c>
      <c r="G396">
        <v>7194869046</v>
      </c>
      <c r="H396">
        <v>4.7861789999999997</v>
      </c>
      <c r="I396">
        <v>7194869046</v>
      </c>
      <c r="J396">
        <v>-74.187524999999994</v>
      </c>
    </row>
    <row r="397" spans="1:10" x14ac:dyDescent="0.25">
      <c r="A397">
        <v>7194864836</v>
      </c>
      <c r="B397">
        <v>24</v>
      </c>
      <c r="C397" t="s">
        <v>17</v>
      </c>
      <c r="D397">
        <v>4.7928990000000002</v>
      </c>
      <c r="E397">
        <v>-74.076076999999998</v>
      </c>
      <c r="F397" s="1">
        <f t="shared" si="34"/>
        <v>24</v>
      </c>
      <c r="G397">
        <v>7194864836</v>
      </c>
      <c r="H397">
        <v>4.7928990000000002</v>
      </c>
      <c r="I397">
        <v>7194864836</v>
      </c>
      <c r="J397">
        <v>-74.076076999999998</v>
      </c>
    </row>
    <row r="398" spans="1:10" x14ac:dyDescent="0.25">
      <c r="A398">
        <v>7194864920</v>
      </c>
      <c r="B398">
        <v>6</v>
      </c>
      <c r="C398" t="s">
        <v>17</v>
      </c>
      <c r="D398">
        <v>4.7930380000000001</v>
      </c>
      <c r="E398">
        <v>-74.04383</v>
      </c>
      <c r="F398" s="1">
        <f t="shared" si="34"/>
        <v>6</v>
      </c>
      <c r="G398">
        <v>7194864920</v>
      </c>
      <c r="H398">
        <v>4.7930380000000001</v>
      </c>
      <c r="I398">
        <v>7194864920</v>
      </c>
      <c r="J398">
        <v>-74.04383</v>
      </c>
    </row>
    <row r="399" spans="1:10" x14ac:dyDescent="0.25">
      <c r="A399">
        <v>7194869635</v>
      </c>
      <c r="B399">
        <v>5</v>
      </c>
      <c r="C399" t="s">
        <v>17</v>
      </c>
      <c r="D399">
        <v>4.7961859999999996</v>
      </c>
      <c r="E399">
        <v>-74.190698999999995</v>
      </c>
      <c r="F399" s="1">
        <f t="shared" si="34"/>
        <v>119</v>
      </c>
      <c r="G399">
        <v>7194869635</v>
      </c>
      <c r="H399">
        <v>4.7961859999999996</v>
      </c>
      <c r="I399">
        <v>7194869635</v>
      </c>
      <c r="J399">
        <v>-74.190698999999995</v>
      </c>
    </row>
    <row r="400" spans="1:10" x14ac:dyDescent="0.25">
      <c r="A400">
        <v>7194866333</v>
      </c>
      <c r="B400">
        <v>20</v>
      </c>
      <c r="C400" t="s">
        <v>17</v>
      </c>
      <c r="D400">
        <v>4.7967040000000001</v>
      </c>
      <c r="E400">
        <v>-74.210752999999997</v>
      </c>
      <c r="F400" s="1">
        <f t="shared" si="34"/>
        <v>409</v>
      </c>
      <c r="G400">
        <v>7194866333</v>
      </c>
      <c r="H400">
        <v>4.7967040000000001</v>
      </c>
      <c r="I400">
        <v>7194866333</v>
      </c>
      <c r="J400">
        <v>-74.210752999999997</v>
      </c>
    </row>
    <row r="401" spans="1:10" x14ac:dyDescent="0.25">
      <c r="A401">
        <v>7194863214</v>
      </c>
      <c r="B401">
        <v>60</v>
      </c>
      <c r="C401" t="s">
        <v>17</v>
      </c>
      <c r="D401">
        <v>4.8022340000000003</v>
      </c>
      <c r="E401">
        <v>-74.044822999999994</v>
      </c>
      <c r="F401" s="1">
        <f t="shared" si="34"/>
        <v>88</v>
      </c>
      <c r="G401">
        <v>7194863214</v>
      </c>
      <c r="H401">
        <v>4.8022340000000003</v>
      </c>
      <c r="I401">
        <v>7194863214</v>
      </c>
      <c r="J401">
        <v>-74.044822999999994</v>
      </c>
    </row>
    <row r="402" spans="1:10" x14ac:dyDescent="0.25">
      <c r="A402">
        <v>7194862783</v>
      </c>
      <c r="B402">
        <v>50</v>
      </c>
      <c r="C402" t="s">
        <v>17</v>
      </c>
      <c r="D402">
        <v>4.8079749999999999</v>
      </c>
      <c r="E402">
        <v>-74.069312999999994</v>
      </c>
      <c r="F402" s="1">
        <f t="shared" si="34"/>
        <v>53</v>
      </c>
      <c r="G402">
        <v>7194862783</v>
      </c>
      <c r="H402">
        <v>4.8079749999999999</v>
      </c>
      <c r="I402">
        <v>7194862783</v>
      </c>
      <c r="J402">
        <v>-74.069312999999994</v>
      </c>
    </row>
    <row r="403" spans="1:10" x14ac:dyDescent="0.25">
      <c r="A403">
        <v>7194863347</v>
      </c>
      <c r="B403">
        <v>7</v>
      </c>
      <c r="C403" t="s">
        <v>17</v>
      </c>
      <c r="D403">
        <v>4.807976</v>
      </c>
      <c r="E403">
        <v>-74.069312999999994</v>
      </c>
      <c r="F403" s="1">
        <f t="shared" si="34"/>
        <v>19</v>
      </c>
      <c r="G403">
        <v>7194863347</v>
      </c>
      <c r="H403">
        <v>4.807976</v>
      </c>
      <c r="I403">
        <v>7194863347</v>
      </c>
      <c r="J403">
        <v>-74.069312999999994</v>
      </c>
    </row>
  </sheetData>
  <autoFilter ref="A1:A403" xr:uid="{421DC72F-4776-4454-9D14-1D1618F31A0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1ABD-F1CC-4723-8C15-B158C54DB4C1}">
  <dimension ref="A1:XS634"/>
  <sheetViews>
    <sheetView topLeftCell="A145" workbookViewId="0">
      <selection activeCell="H2" sqref="H2:I2"/>
    </sheetView>
  </sheetViews>
  <sheetFormatPr defaultColWidth="9.140625" defaultRowHeight="15" x14ac:dyDescent="0.25"/>
  <cols>
    <col min="2" max="2" width="7.5703125" bestFit="1" customWidth="1"/>
    <col min="3" max="3" width="15.140625" bestFit="1" customWidth="1"/>
    <col min="4" max="4" width="7.28515625" bestFit="1" customWidth="1"/>
    <col min="5" max="5" width="6" bestFit="1" customWidth="1"/>
    <col min="6" max="6" width="7" bestFit="1" customWidth="1"/>
    <col min="7" max="7" width="15.140625" bestFit="1" customWidth="1"/>
    <col min="8" max="8" width="9" bestFit="1" customWidth="1"/>
    <col min="9" max="9" width="10.7109375" bestFit="1" customWidth="1"/>
  </cols>
  <sheetData>
    <row r="1" spans="1:643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23</v>
      </c>
    </row>
    <row r="2" spans="1:643" x14ac:dyDescent="0.25">
      <c r="A2">
        <v>21</v>
      </c>
      <c r="B2">
        <v>1</v>
      </c>
      <c r="C2">
        <v>7194821874</v>
      </c>
      <c r="D2">
        <v>5</v>
      </c>
      <c r="E2">
        <v>5</v>
      </c>
      <c r="F2">
        <v>0</v>
      </c>
      <c r="G2">
        <v>10</v>
      </c>
      <c r="H2" s="2">
        <v>4.6256360000000001</v>
      </c>
      <c r="I2" s="2">
        <v>-74.098286000000002</v>
      </c>
      <c r="J2" cm="1">
        <f t="array" ref="J2:J634">TRANSPOSE(_xlfn.ANCHORARRAY(K2))</f>
        <v>5</v>
      </c>
      <c r="K2" cm="1">
        <f t="array" ref="K2:XS2">TRANSPOSE(_xlfn.FILTERXML("&lt;t&gt;&lt;s&gt;" &amp; _xlfn.TEXTJOIN("&lt;/s&gt;&lt;s&gt;",,D2:F212) &amp; "&lt;/s&gt;&lt;/t&gt;", "//s"))</f>
        <v>5</v>
      </c>
      <c r="L2">
        <v>5</v>
      </c>
      <c r="M2">
        <v>0</v>
      </c>
      <c r="N2">
        <v>10</v>
      </c>
      <c r="O2">
        <v>0</v>
      </c>
      <c r="P2">
        <v>0</v>
      </c>
      <c r="Q2">
        <v>10</v>
      </c>
      <c r="R2">
        <v>0</v>
      </c>
      <c r="S2">
        <v>0</v>
      </c>
      <c r="T2">
        <v>10</v>
      </c>
      <c r="U2">
        <v>0</v>
      </c>
      <c r="V2">
        <v>0</v>
      </c>
      <c r="W2">
        <v>0</v>
      </c>
      <c r="X2">
        <v>10</v>
      </c>
      <c r="Y2">
        <v>0</v>
      </c>
      <c r="Z2">
        <v>0</v>
      </c>
      <c r="AA2">
        <v>10</v>
      </c>
      <c r="AB2">
        <v>0</v>
      </c>
      <c r="AC2">
        <v>0</v>
      </c>
      <c r="AD2">
        <v>0</v>
      </c>
      <c r="AE2">
        <v>10</v>
      </c>
      <c r="AF2">
        <v>11</v>
      </c>
      <c r="AG2">
        <v>0</v>
      </c>
      <c r="AH2">
        <v>0</v>
      </c>
      <c r="AI2">
        <v>10</v>
      </c>
      <c r="AJ2">
        <v>2</v>
      </c>
      <c r="AK2">
        <v>0</v>
      </c>
      <c r="AL2">
        <v>0</v>
      </c>
      <c r="AM2">
        <v>12</v>
      </c>
      <c r="AN2">
        <v>0</v>
      </c>
      <c r="AO2">
        <v>0</v>
      </c>
      <c r="AP2">
        <v>12</v>
      </c>
      <c r="AQ2">
        <v>0</v>
      </c>
      <c r="AR2">
        <v>0</v>
      </c>
      <c r="AS2">
        <v>12</v>
      </c>
      <c r="AT2">
        <v>0</v>
      </c>
      <c r="AU2">
        <v>8</v>
      </c>
      <c r="AV2">
        <v>5</v>
      </c>
      <c r="AW2">
        <v>0</v>
      </c>
      <c r="AX2">
        <v>13</v>
      </c>
      <c r="AY2">
        <v>0</v>
      </c>
      <c r="AZ2">
        <v>0</v>
      </c>
      <c r="BA2">
        <v>2</v>
      </c>
      <c r="BB2">
        <v>12</v>
      </c>
      <c r="BC2">
        <v>0</v>
      </c>
      <c r="BD2">
        <v>14</v>
      </c>
      <c r="BE2">
        <v>0</v>
      </c>
      <c r="BF2">
        <v>0</v>
      </c>
      <c r="BG2">
        <v>0</v>
      </c>
      <c r="BH2">
        <v>14</v>
      </c>
      <c r="BI2">
        <v>0</v>
      </c>
      <c r="BJ2">
        <v>0</v>
      </c>
      <c r="BK2">
        <v>14</v>
      </c>
      <c r="BL2">
        <v>0</v>
      </c>
      <c r="BM2">
        <v>15</v>
      </c>
      <c r="BN2">
        <v>0</v>
      </c>
      <c r="BO2">
        <v>0</v>
      </c>
      <c r="BP2">
        <v>13</v>
      </c>
      <c r="BQ2">
        <v>2</v>
      </c>
      <c r="BR2">
        <v>0</v>
      </c>
      <c r="BS2">
        <v>14</v>
      </c>
      <c r="BT2">
        <v>1</v>
      </c>
      <c r="BU2">
        <v>0</v>
      </c>
      <c r="BV2">
        <v>15</v>
      </c>
      <c r="BW2">
        <v>0</v>
      </c>
      <c r="BX2">
        <v>0</v>
      </c>
      <c r="BY2">
        <v>15</v>
      </c>
      <c r="BZ2">
        <v>0</v>
      </c>
      <c r="CA2">
        <v>0</v>
      </c>
      <c r="CB2">
        <v>0</v>
      </c>
      <c r="CC2">
        <v>15</v>
      </c>
      <c r="CD2">
        <v>0</v>
      </c>
      <c r="CE2">
        <v>0</v>
      </c>
      <c r="CF2">
        <v>15</v>
      </c>
      <c r="CG2">
        <v>0</v>
      </c>
      <c r="CH2">
        <v>0</v>
      </c>
      <c r="CI2">
        <v>15</v>
      </c>
      <c r="CJ2">
        <v>0</v>
      </c>
      <c r="CK2">
        <v>0</v>
      </c>
      <c r="CL2">
        <v>15</v>
      </c>
      <c r="CM2">
        <v>0</v>
      </c>
      <c r="CN2">
        <v>0</v>
      </c>
      <c r="CO2">
        <v>15</v>
      </c>
      <c r="CP2">
        <v>0</v>
      </c>
      <c r="CQ2">
        <v>16</v>
      </c>
      <c r="CR2">
        <v>0</v>
      </c>
      <c r="CS2">
        <v>0</v>
      </c>
      <c r="CT2">
        <v>11</v>
      </c>
      <c r="CU2">
        <v>5</v>
      </c>
      <c r="CV2">
        <v>0</v>
      </c>
      <c r="CW2">
        <v>16</v>
      </c>
      <c r="CX2">
        <v>0</v>
      </c>
      <c r="CY2">
        <v>0</v>
      </c>
      <c r="CZ2">
        <v>17</v>
      </c>
      <c r="DA2">
        <v>0</v>
      </c>
      <c r="DB2">
        <v>0</v>
      </c>
      <c r="DC2">
        <v>10</v>
      </c>
      <c r="DD2">
        <v>7</v>
      </c>
      <c r="DE2">
        <v>0</v>
      </c>
      <c r="DF2">
        <v>12</v>
      </c>
      <c r="DG2">
        <v>5</v>
      </c>
      <c r="DH2">
        <v>0</v>
      </c>
      <c r="DI2">
        <v>13</v>
      </c>
      <c r="DJ2">
        <v>5</v>
      </c>
      <c r="DK2">
        <v>0</v>
      </c>
      <c r="DL2">
        <v>18</v>
      </c>
      <c r="DM2">
        <v>0</v>
      </c>
      <c r="DN2">
        <v>0</v>
      </c>
      <c r="DO2">
        <v>0</v>
      </c>
      <c r="DP2">
        <v>8</v>
      </c>
      <c r="DQ2">
        <v>10</v>
      </c>
      <c r="DR2">
        <v>0</v>
      </c>
      <c r="DS2">
        <v>18</v>
      </c>
      <c r="DT2">
        <v>0</v>
      </c>
      <c r="DU2">
        <v>3</v>
      </c>
      <c r="DV2">
        <v>4</v>
      </c>
      <c r="DW2">
        <v>12</v>
      </c>
      <c r="DX2">
        <v>19</v>
      </c>
      <c r="DY2">
        <v>0</v>
      </c>
      <c r="DZ2">
        <v>0</v>
      </c>
      <c r="EA2">
        <v>0</v>
      </c>
      <c r="EB2">
        <v>19</v>
      </c>
      <c r="EC2">
        <v>0</v>
      </c>
      <c r="ED2">
        <v>0</v>
      </c>
      <c r="EE2">
        <v>12</v>
      </c>
      <c r="EF2">
        <v>7</v>
      </c>
      <c r="EG2">
        <v>2</v>
      </c>
      <c r="EH2">
        <v>18</v>
      </c>
      <c r="EI2">
        <v>0</v>
      </c>
      <c r="EJ2">
        <v>20</v>
      </c>
      <c r="EK2">
        <v>0</v>
      </c>
      <c r="EL2">
        <v>0</v>
      </c>
      <c r="EM2">
        <v>20</v>
      </c>
      <c r="EN2">
        <v>0</v>
      </c>
      <c r="EO2">
        <v>0</v>
      </c>
      <c r="EP2">
        <v>0</v>
      </c>
      <c r="EQ2">
        <v>20</v>
      </c>
      <c r="ER2">
        <v>0</v>
      </c>
      <c r="ES2">
        <v>0</v>
      </c>
      <c r="ET2">
        <v>0</v>
      </c>
      <c r="EU2">
        <v>20</v>
      </c>
      <c r="EV2">
        <v>13</v>
      </c>
      <c r="EW2">
        <v>8</v>
      </c>
      <c r="EX2">
        <v>0</v>
      </c>
      <c r="EY2">
        <v>21</v>
      </c>
      <c r="EZ2">
        <v>0</v>
      </c>
      <c r="FA2">
        <v>0</v>
      </c>
      <c r="FB2">
        <v>11</v>
      </c>
      <c r="FC2">
        <v>10</v>
      </c>
      <c r="FD2">
        <v>0</v>
      </c>
      <c r="FE2">
        <v>0</v>
      </c>
      <c r="FF2">
        <v>21</v>
      </c>
      <c r="FG2">
        <v>0</v>
      </c>
      <c r="FH2">
        <v>0</v>
      </c>
      <c r="FI2">
        <v>21</v>
      </c>
      <c r="FJ2">
        <v>0</v>
      </c>
      <c r="FK2">
        <v>0</v>
      </c>
      <c r="FL2">
        <v>0</v>
      </c>
      <c r="FM2">
        <v>21</v>
      </c>
      <c r="FN2">
        <v>0</v>
      </c>
      <c r="FO2">
        <v>22</v>
      </c>
      <c r="FP2">
        <v>0</v>
      </c>
      <c r="FQ2">
        <v>24</v>
      </c>
      <c r="FR2">
        <v>0</v>
      </c>
      <c r="FS2">
        <v>0</v>
      </c>
      <c r="FT2">
        <v>4</v>
      </c>
      <c r="FU2">
        <v>20</v>
      </c>
      <c r="FV2">
        <v>0</v>
      </c>
      <c r="FW2">
        <v>24</v>
      </c>
      <c r="FX2">
        <v>0</v>
      </c>
      <c r="FY2">
        <v>0</v>
      </c>
      <c r="FZ2">
        <v>0</v>
      </c>
      <c r="GA2">
        <v>0</v>
      </c>
      <c r="GB2">
        <v>24</v>
      </c>
      <c r="GC2">
        <v>25</v>
      </c>
      <c r="GD2">
        <v>0</v>
      </c>
      <c r="GE2">
        <v>0</v>
      </c>
      <c r="GF2">
        <v>1</v>
      </c>
      <c r="GG2">
        <v>0</v>
      </c>
      <c r="GH2">
        <v>24</v>
      </c>
      <c r="GI2">
        <v>0</v>
      </c>
      <c r="GJ2">
        <v>25</v>
      </c>
      <c r="GK2">
        <v>0</v>
      </c>
      <c r="GL2">
        <v>6</v>
      </c>
      <c r="GM2">
        <v>6</v>
      </c>
      <c r="GN2">
        <v>14</v>
      </c>
      <c r="GO2">
        <v>19</v>
      </c>
      <c r="GP2">
        <v>0</v>
      </c>
      <c r="GQ2">
        <v>9</v>
      </c>
      <c r="GR2">
        <v>0</v>
      </c>
      <c r="GS2">
        <v>28</v>
      </c>
      <c r="GT2">
        <v>0</v>
      </c>
      <c r="GU2">
        <v>3</v>
      </c>
      <c r="GV2">
        <v>26</v>
      </c>
      <c r="GW2">
        <v>0</v>
      </c>
      <c r="GX2">
        <v>0</v>
      </c>
      <c r="GY2">
        <v>29</v>
      </c>
      <c r="GZ2">
        <v>0</v>
      </c>
      <c r="HA2">
        <v>0</v>
      </c>
      <c r="HB2">
        <v>29</v>
      </c>
      <c r="HC2">
        <v>0</v>
      </c>
      <c r="HD2">
        <v>0</v>
      </c>
      <c r="HE2">
        <v>30</v>
      </c>
      <c r="HF2">
        <v>0</v>
      </c>
      <c r="HG2">
        <v>28</v>
      </c>
      <c r="HH2">
        <v>0</v>
      </c>
      <c r="HI2">
        <v>3</v>
      </c>
      <c r="HJ2">
        <v>16</v>
      </c>
      <c r="HK2">
        <v>17</v>
      </c>
      <c r="HL2">
        <v>0</v>
      </c>
      <c r="HM2">
        <v>0</v>
      </c>
      <c r="HN2">
        <v>34</v>
      </c>
      <c r="HO2">
        <v>0</v>
      </c>
      <c r="HP2">
        <v>0</v>
      </c>
      <c r="HQ2">
        <v>34</v>
      </c>
      <c r="HR2">
        <v>0</v>
      </c>
      <c r="HS2">
        <v>20</v>
      </c>
      <c r="HT2">
        <v>16</v>
      </c>
      <c r="HU2">
        <v>0</v>
      </c>
      <c r="HV2">
        <v>12</v>
      </c>
      <c r="HW2">
        <v>24</v>
      </c>
      <c r="HX2">
        <v>0</v>
      </c>
      <c r="HY2">
        <v>0</v>
      </c>
      <c r="HZ2">
        <v>36</v>
      </c>
      <c r="IA2">
        <v>0</v>
      </c>
      <c r="IB2">
        <v>26</v>
      </c>
      <c r="IC2">
        <v>11</v>
      </c>
      <c r="ID2">
        <v>0</v>
      </c>
      <c r="IE2">
        <v>0</v>
      </c>
      <c r="IF2">
        <v>37</v>
      </c>
      <c r="IG2">
        <v>0</v>
      </c>
      <c r="IH2">
        <v>8</v>
      </c>
      <c r="II2">
        <v>30</v>
      </c>
      <c r="IJ2">
        <v>0</v>
      </c>
      <c r="IK2">
        <v>0</v>
      </c>
      <c r="IL2">
        <v>37</v>
      </c>
      <c r="IM2">
        <v>2</v>
      </c>
      <c r="IN2">
        <v>3</v>
      </c>
      <c r="IO2">
        <v>37</v>
      </c>
      <c r="IP2">
        <v>0</v>
      </c>
      <c r="IQ2">
        <v>0</v>
      </c>
      <c r="IR2">
        <v>40</v>
      </c>
      <c r="IS2">
        <v>0</v>
      </c>
      <c r="IT2">
        <v>29</v>
      </c>
      <c r="IU2">
        <v>0</v>
      </c>
      <c r="IV2">
        <v>13</v>
      </c>
      <c r="IW2">
        <v>20</v>
      </c>
      <c r="IX2">
        <v>3</v>
      </c>
      <c r="IY2">
        <v>20</v>
      </c>
      <c r="IZ2">
        <v>43</v>
      </c>
      <c r="JA2">
        <v>0</v>
      </c>
      <c r="JB2">
        <v>0</v>
      </c>
      <c r="JC2">
        <v>0</v>
      </c>
      <c r="JD2">
        <v>43</v>
      </c>
      <c r="JE2">
        <v>0</v>
      </c>
      <c r="JF2">
        <v>38</v>
      </c>
      <c r="JG2">
        <v>6</v>
      </c>
      <c r="JH2">
        <v>0</v>
      </c>
      <c r="JI2">
        <v>5</v>
      </c>
      <c r="JJ2">
        <v>39</v>
      </c>
      <c r="JK2">
        <v>0</v>
      </c>
      <c r="JL2">
        <v>6</v>
      </c>
      <c r="JM2">
        <v>38</v>
      </c>
      <c r="JN2">
        <v>0</v>
      </c>
      <c r="JO2">
        <v>32</v>
      </c>
      <c r="JP2">
        <v>0</v>
      </c>
      <c r="JQ2">
        <v>12</v>
      </c>
      <c r="JR2">
        <v>0</v>
      </c>
      <c r="JS2">
        <v>46</v>
      </c>
      <c r="JT2">
        <v>0</v>
      </c>
      <c r="JU2">
        <v>21</v>
      </c>
      <c r="JV2">
        <v>12</v>
      </c>
      <c r="JW2">
        <v>14</v>
      </c>
      <c r="JX2">
        <v>0</v>
      </c>
      <c r="JY2">
        <v>48</v>
      </c>
      <c r="JZ2">
        <v>0</v>
      </c>
      <c r="KA2">
        <v>23</v>
      </c>
      <c r="KB2">
        <v>26</v>
      </c>
      <c r="KC2">
        <v>0</v>
      </c>
      <c r="KD2">
        <v>0</v>
      </c>
      <c r="KE2">
        <v>49</v>
      </c>
      <c r="KF2">
        <v>0</v>
      </c>
      <c r="KG2">
        <v>40</v>
      </c>
      <c r="KH2">
        <v>10</v>
      </c>
      <c r="KI2">
        <v>0</v>
      </c>
      <c r="KJ2">
        <v>20</v>
      </c>
      <c r="KK2">
        <v>30</v>
      </c>
      <c r="KL2">
        <v>0</v>
      </c>
      <c r="KM2">
        <v>50</v>
      </c>
      <c r="KN2">
        <v>0</v>
      </c>
      <c r="KO2">
        <v>0</v>
      </c>
      <c r="KP2">
        <v>30</v>
      </c>
      <c r="KQ2">
        <v>21</v>
      </c>
      <c r="KR2">
        <v>0</v>
      </c>
      <c r="KS2">
        <v>6</v>
      </c>
      <c r="KT2">
        <v>45</v>
      </c>
      <c r="KU2">
        <v>0</v>
      </c>
      <c r="KV2">
        <v>0</v>
      </c>
      <c r="KW2">
        <v>51</v>
      </c>
      <c r="KX2">
        <v>0</v>
      </c>
      <c r="KY2">
        <v>3</v>
      </c>
      <c r="KZ2">
        <v>0</v>
      </c>
      <c r="LA2">
        <v>50</v>
      </c>
      <c r="LB2">
        <v>33</v>
      </c>
      <c r="LC2">
        <v>11</v>
      </c>
      <c r="LD2">
        <v>10</v>
      </c>
      <c r="LE2">
        <v>0</v>
      </c>
      <c r="LF2">
        <v>54</v>
      </c>
      <c r="LG2">
        <v>0</v>
      </c>
      <c r="LH2">
        <v>0</v>
      </c>
      <c r="LI2">
        <v>0</v>
      </c>
      <c r="LJ2">
        <v>54</v>
      </c>
      <c r="LK2">
        <v>8</v>
      </c>
      <c r="LL2">
        <v>47</v>
      </c>
      <c r="LM2">
        <v>0</v>
      </c>
      <c r="LN2">
        <v>37</v>
      </c>
      <c r="LO2">
        <v>20</v>
      </c>
      <c r="LP2">
        <v>0</v>
      </c>
      <c r="LQ2">
        <v>36</v>
      </c>
      <c r="LR2">
        <v>22</v>
      </c>
      <c r="LS2">
        <v>0</v>
      </c>
      <c r="LT2">
        <v>26</v>
      </c>
      <c r="LU2">
        <v>32</v>
      </c>
      <c r="LV2">
        <v>0</v>
      </c>
      <c r="LW2">
        <v>1</v>
      </c>
      <c r="LX2">
        <v>59</v>
      </c>
      <c r="LY2">
        <v>0</v>
      </c>
      <c r="LZ2">
        <v>20</v>
      </c>
      <c r="MA2">
        <v>40</v>
      </c>
      <c r="MB2">
        <v>0</v>
      </c>
      <c r="MC2">
        <v>24</v>
      </c>
      <c r="MD2">
        <v>27</v>
      </c>
      <c r="ME2">
        <v>9</v>
      </c>
      <c r="MF2">
        <v>20</v>
      </c>
      <c r="MG2">
        <v>42</v>
      </c>
      <c r="MH2">
        <v>0</v>
      </c>
      <c r="MI2">
        <v>0</v>
      </c>
      <c r="MJ2">
        <v>62</v>
      </c>
      <c r="MK2">
        <v>0</v>
      </c>
      <c r="ML2">
        <v>41</v>
      </c>
      <c r="MM2">
        <v>23</v>
      </c>
      <c r="MN2">
        <v>0</v>
      </c>
      <c r="MO2">
        <v>15</v>
      </c>
      <c r="MP2">
        <v>50</v>
      </c>
      <c r="MQ2">
        <v>0</v>
      </c>
      <c r="MR2">
        <v>0</v>
      </c>
      <c r="MS2">
        <v>57</v>
      </c>
      <c r="MT2">
        <v>9</v>
      </c>
      <c r="MU2">
        <v>0</v>
      </c>
      <c r="MV2">
        <v>66</v>
      </c>
      <c r="MW2">
        <v>0</v>
      </c>
      <c r="MX2">
        <v>4</v>
      </c>
      <c r="MY2">
        <v>63</v>
      </c>
      <c r="MZ2">
        <v>0</v>
      </c>
      <c r="NA2">
        <v>63</v>
      </c>
      <c r="NB2">
        <v>5</v>
      </c>
      <c r="NC2">
        <v>0</v>
      </c>
      <c r="ND2">
        <v>69</v>
      </c>
      <c r="NE2">
        <v>0</v>
      </c>
      <c r="NF2">
        <v>0</v>
      </c>
      <c r="NG2">
        <v>65</v>
      </c>
      <c r="NH2">
        <v>11</v>
      </c>
      <c r="NI2">
        <v>0</v>
      </c>
      <c r="NJ2">
        <v>42</v>
      </c>
      <c r="NK2">
        <v>36</v>
      </c>
      <c r="NL2">
        <v>0</v>
      </c>
      <c r="NM2">
        <v>0</v>
      </c>
      <c r="NN2">
        <v>79</v>
      </c>
      <c r="NO2">
        <v>0</v>
      </c>
      <c r="NP2">
        <v>30</v>
      </c>
      <c r="NQ2">
        <v>50</v>
      </c>
      <c r="NR2">
        <v>0</v>
      </c>
      <c r="NS2">
        <v>44</v>
      </c>
      <c r="NT2">
        <v>36</v>
      </c>
      <c r="NU2">
        <v>0</v>
      </c>
      <c r="NV2">
        <v>80</v>
      </c>
      <c r="NW2">
        <v>0</v>
      </c>
      <c r="NX2">
        <v>0</v>
      </c>
      <c r="NY2">
        <v>0</v>
      </c>
      <c r="NZ2">
        <v>81</v>
      </c>
      <c r="OA2">
        <v>0</v>
      </c>
      <c r="OB2">
        <v>0</v>
      </c>
      <c r="OC2">
        <v>83</v>
      </c>
      <c r="OD2">
        <v>0</v>
      </c>
      <c r="OE2">
        <v>26</v>
      </c>
      <c r="OF2">
        <v>58</v>
      </c>
      <c r="OG2">
        <v>0</v>
      </c>
      <c r="OH2">
        <v>6</v>
      </c>
      <c r="OI2">
        <v>79</v>
      </c>
      <c r="OJ2">
        <v>0</v>
      </c>
      <c r="OK2">
        <v>53</v>
      </c>
      <c r="OL2">
        <v>32</v>
      </c>
      <c r="OM2">
        <v>0</v>
      </c>
      <c r="ON2">
        <v>26</v>
      </c>
      <c r="OO2">
        <v>59</v>
      </c>
      <c r="OP2">
        <v>0</v>
      </c>
      <c r="OQ2">
        <v>14</v>
      </c>
      <c r="OR2">
        <v>72</v>
      </c>
      <c r="OS2">
        <v>0</v>
      </c>
      <c r="OT2">
        <v>59</v>
      </c>
      <c r="OU2">
        <v>28</v>
      </c>
      <c r="OV2">
        <v>0</v>
      </c>
      <c r="OW2">
        <v>17</v>
      </c>
      <c r="OX2">
        <v>71</v>
      </c>
      <c r="OY2">
        <v>0</v>
      </c>
      <c r="OZ2">
        <v>19</v>
      </c>
      <c r="PA2">
        <v>9</v>
      </c>
      <c r="PB2">
        <v>60</v>
      </c>
      <c r="PC2">
        <v>89</v>
      </c>
      <c r="PD2">
        <v>0</v>
      </c>
      <c r="PE2">
        <v>0</v>
      </c>
      <c r="PF2">
        <v>52</v>
      </c>
      <c r="PG2">
        <v>28</v>
      </c>
      <c r="PH2">
        <v>9</v>
      </c>
      <c r="PI2">
        <v>0</v>
      </c>
      <c r="PJ2">
        <v>84</v>
      </c>
      <c r="PK2">
        <v>6</v>
      </c>
      <c r="PL2">
        <v>0</v>
      </c>
      <c r="PM2">
        <v>96</v>
      </c>
      <c r="PN2">
        <v>0</v>
      </c>
      <c r="PO2">
        <v>65</v>
      </c>
      <c r="PP2">
        <v>32</v>
      </c>
      <c r="PQ2">
        <v>0</v>
      </c>
      <c r="PR2">
        <v>100</v>
      </c>
      <c r="PS2">
        <v>0</v>
      </c>
      <c r="PT2">
        <v>0</v>
      </c>
      <c r="PU2">
        <v>33</v>
      </c>
      <c r="PV2">
        <v>68</v>
      </c>
      <c r="PW2">
        <v>0</v>
      </c>
      <c r="PX2">
        <v>102</v>
      </c>
      <c r="PY2">
        <v>0</v>
      </c>
      <c r="PZ2">
        <v>0</v>
      </c>
      <c r="QA2">
        <v>0</v>
      </c>
      <c r="QB2">
        <v>102</v>
      </c>
      <c r="QC2">
        <v>0</v>
      </c>
      <c r="QD2">
        <v>0</v>
      </c>
      <c r="QE2">
        <v>103</v>
      </c>
      <c r="QF2">
        <v>0</v>
      </c>
      <c r="QG2">
        <v>0</v>
      </c>
      <c r="QH2">
        <v>103</v>
      </c>
      <c r="QI2">
        <v>0</v>
      </c>
      <c r="QJ2">
        <v>25</v>
      </c>
      <c r="QK2">
        <v>79</v>
      </c>
      <c r="QL2">
        <v>0</v>
      </c>
      <c r="QM2">
        <v>105</v>
      </c>
      <c r="QN2">
        <v>0</v>
      </c>
      <c r="QO2">
        <v>0</v>
      </c>
      <c r="QP2">
        <v>29</v>
      </c>
      <c r="QQ2">
        <v>71</v>
      </c>
      <c r="QR2">
        <v>9</v>
      </c>
      <c r="QS2">
        <v>25</v>
      </c>
      <c r="QT2">
        <v>88</v>
      </c>
      <c r="QU2">
        <v>0</v>
      </c>
      <c r="QV2">
        <v>0</v>
      </c>
      <c r="QW2">
        <v>114</v>
      </c>
      <c r="QX2">
        <v>0</v>
      </c>
      <c r="QY2">
        <v>16</v>
      </c>
      <c r="QZ2">
        <v>99</v>
      </c>
      <c r="RA2">
        <v>0</v>
      </c>
      <c r="RB2">
        <v>22</v>
      </c>
      <c r="RC2">
        <v>78</v>
      </c>
      <c r="RD2">
        <v>18</v>
      </c>
      <c r="RE2">
        <v>2</v>
      </c>
      <c r="RF2">
        <v>112</v>
      </c>
      <c r="RG2">
        <v>5</v>
      </c>
      <c r="RH2">
        <v>7</v>
      </c>
      <c r="RI2">
        <v>119</v>
      </c>
      <c r="RJ2">
        <v>0</v>
      </c>
      <c r="RK2">
        <v>78</v>
      </c>
      <c r="RL2">
        <v>37</v>
      </c>
      <c r="RM2">
        <v>12</v>
      </c>
      <c r="RN2">
        <v>0</v>
      </c>
      <c r="RO2">
        <v>132</v>
      </c>
      <c r="RP2">
        <v>0</v>
      </c>
      <c r="RQ2">
        <v>110</v>
      </c>
      <c r="RR2">
        <v>24</v>
      </c>
      <c r="RS2">
        <v>0</v>
      </c>
      <c r="RT2">
        <v>107</v>
      </c>
      <c r="RU2">
        <v>30</v>
      </c>
      <c r="RV2">
        <v>0</v>
      </c>
      <c r="RW2">
        <v>17</v>
      </c>
      <c r="RX2">
        <v>120</v>
      </c>
      <c r="RY2">
        <v>2</v>
      </c>
      <c r="RZ2">
        <v>24</v>
      </c>
      <c r="SA2">
        <v>76</v>
      </c>
      <c r="SB2">
        <v>39</v>
      </c>
      <c r="SC2">
        <v>103</v>
      </c>
      <c r="SD2">
        <v>39</v>
      </c>
      <c r="SE2">
        <v>0</v>
      </c>
      <c r="SF2">
        <v>82</v>
      </c>
      <c r="SG2">
        <v>62</v>
      </c>
      <c r="SH2">
        <v>0</v>
      </c>
      <c r="SI2">
        <v>0</v>
      </c>
      <c r="SJ2">
        <v>144</v>
      </c>
      <c r="SK2">
        <v>0</v>
      </c>
      <c r="SL2">
        <v>0</v>
      </c>
      <c r="SM2">
        <v>145</v>
      </c>
      <c r="SN2">
        <v>0</v>
      </c>
      <c r="SO2">
        <v>2</v>
      </c>
      <c r="SP2">
        <v>145</v>
      </c>
      <c r="SQ2">
        <v>0</v>
      </c>
      <c r="SR2">
        <v>0</v>
      </c>
      <c r="SS2">
        <v>148</v>
      </c>
      <c r="ST2">
        <v>0</v>
      </c>
      <c r="SU2">
        <v>2</v>
      </c>
      <c r="SV2">
        <v>148</v>
      </c>
      <c r="SW2">
        <v>0</v>
      </c>
      <c r="SX2">
        <v>0</v>
      </c>
      <c r="SY2">
        <v>151</v>
      </c>
      <c r="SZ2">
        <v>0</v>
      </c>
      <c r="TA2">
        <v>0</v>
      </c>
      <c r="TB2">
        <v>155</v>
      </c>
      <c r="TC2">
        <v>0</v>
      </c>
      <c r="TD2">
        <v>6</v>
      </c>
      <c r="TE2">
        <v>150</v>
      </c>
      <c r="TF2">
        <v>0</v>
      </c>
      <c r="TG2">
        <v>102</v>
      </c>
      <c r="TH2">
        <v>54</v>
      </c>
      <c r="TI2">
        <v>0</v>
      </c>
      <c r="TJ2">
        <v>3</v>
      </c>
      <c r="TK2">
        <v>158</v>
      </c>
      <c r="TL2">
        <v>0</v>
      </c>
      <c r="TM2">
        <v>16</v>
      </c>
      <c r="TN2">
        <v>145</v>
      </c>
      <c r="TO2">
        <v>10</v>
      </c>
      <c r="TP2">
        <v>1</v>
      </c>
      <c r="TQ2">
        <v>170</v>
      </c>
      <c r="TR2">
        <v>0</v>
      </c>
      <c r="TS2">
        <v>195</v>
      </c>
      <c r="TT2">
        <v>0</v>
      </c>
      <c r="TU2">
        <v>0</v>
      </c>
      <c r="TV2">
        <v>1</v>
      </c>
      <c r="TW2">
        <v>198</v>
      </c>
      <c r="TX2">
        <v>0</v>
      </c>
      <c r="TY2">
        <v>0</v>
      </c>
      <c r="TZ2">
        <v>201</v>
      </c>
      <c r="UA2">
        <v>0</v>
      </c>
      <c r="UB2">
        <v>35</v>
      </c>
      <c r="UC2">
        <v>168</v>
      </c>
      <c r="UD2">
        <v>0</v>
      </c>
      <c r="UE2">
        <v>69</v>
      </c>
      <c r="UF2">
        <v>172</v>
      </c>
      <c r="UG2">
        <v>0</v>
      </c>
      <c r="UH2">
        <v>61</v>
      </c>
      <c r="UI2">
        <v>181</v>
      </c>
      <c r="UJ2">
        <v>0</v>
      </c>
      <c r="UK2">
        <v>55</v>
      </c>
      <c r="UL2">
        <v>191</v>
      </c>
      <c r="UM2">
        <v>0</v>
      </c>
      <c r="UN2">
        <v>0</v>
      </c>
      <c r="UO2">
        <v>246</v>
      </c>
      <c r="UP2">
        <v>0</v>
      </c>
      <c r="UQ2">
        <v>0</v>
      </c>
      <c r="UR2">
        <v>250</v>
      </c>
      <c r="US2">
        <v>0</v>
      </c>
      <c r="UT2">
        <v>184</v>
      </c>
      <c r="UU2">
        <v>67</v>
      </c>
      <c r="UV2">
        <v>0</v>
      </c>
      <c r="UW2">
        <v>0</v>
      </c>
      <c r="UX2">
        <v>0</v>
      </c>
      <c r="UY2">
        <v>258</v>
      </c>
      <c r="UZ2">
        <v>145</v>
      </c>
      <c r="VA2">
        <v>115</v>
      </c>
      <c r="VB2">
        <v>0</v>
      </c>
      <c r="VC2">
        <v>2</v>
      </c>
      <c r="VD2">
        <v>271</v>
      </c>
      <c r="VE2">
        <v>0</v>
      </c>
      <c r="VF2">
        <v>16</v>
      </c>
      <c r="VG2">
        <v>269</v>
      </c>
      <c r="VH2">
        <v>0</v>
      </c>
      <c r="VI2">
        <v>39</v>
      </c>
      <c r="VJ2">
        <v>246</v>
      </c>
      <c r="VK2">
        <v>0</v>
      </c>
      <c r="VL2">
        <v>0</v>
      </c>
      <c r="VM2">
        <v>300</v>
      </c>
      <c r="VN2">
        <v>0</v>
      </c>
      <c r="VO2">
        <v>305</v>
      </c>
      <c r="VP2">
        <v>0</v>
      </c>
      <c r="VQ2">
        <v>0</v>
      </c>
      <c r="VR2">
        <v>35</v>
      </c>
      <c r="VS2">
        <v>272</v>
      </c>
      <c r="VT2">
        <v>0</v>
      </c>
      <c r="VU2">
        <v>33</v>
      </c>
      <c r="VV2">
        <v>274</v>
      </c>
      <c r="VW2">
        <v>0</v>
      </c>
      <c r="VX2">
        <v>0</v>
      </c>
      <c r="VY2">
        <v>312</v>
      </c>
      <c r="VZ2">
        <v>0</v>
      </c>
      <c r="WA2">
        <v>0</v>
      </c>
      <c r="WB2">
        <v>316</v>
      </c>
      <c r="WC2">
        <v>0</v>
      </c>
      <c r="WD2">
        <v>22</v>
      </c>
      <c r="WE2">
        <v>280</v>
      </c>
      <c r="WF2">
        <v>15</v>
      </c>
      <c r="WG2">
        <v>0</v>
      </c>
      <c r="WH2">
        <v>328</v>
      </c>
      <c r="WI2">
        <v>0</v>
      </c>
      <c r="WJ2">
        <v>17</v>
      </c>
      <c r="WK2">
        <v>324</v>
      </c>
      <c r="WL2">
        <v>0</v>
      </c>
      <c r="WM2">
        <v>6</v>
      </c>
      <c r="WN2">
        <v>383</v>
      </c>
      <c r="WO2">
        <v>20</v>
      </c>
      <c r="WP2">
        <v>0</v>
      </c>
      <c r="WQ2">
        <v>462</v>
      </c>
      <c r="WR2">
        <v>0</v>
      </c>
      <c r="WS2">
        <v>67</v>
      </c>
      <c r="WT2">
        <v>433</v>
      </c>
      <c r="WU2">
        <v>0</v>
      </c>
      <c r="WV2">
        <v>0</v>
      </c>
      <c r="WW2">
        <v>500</v>
      </c>
      <c r="WX2">
        <v>0</v>
      </c>
      <c r="WY2">
        <v>549</v>
      </c>
      <c r="WZ2">
        <v>0</v>
      </c>
      <c r="XA2">
        <v>0</v>
      </c>
      <c r="XB2">
        <v>118</v>
      </c>
      <c r="XC2">
        <v>440</v>
      </c>
      <c r="XD2">
        <v>0</v>
      </c>
      <c r="XE2">
        <v>0</v>
      </c>
      <c r="XF2">
        <v>586</v>
      </c>
      <c r="XG2">
        <v>0</v>
      </c>
      <c r="XH2">
        <v>88</v>
      </c>
      <c r="XI2">
        <v>545</v>
      </c>
      <c r="XJ2">
        <v>0</v>
      </c>
      <c r="XK2">
        <v>0</v>
      </c>
      <c r="XL2">
        <v>695</v>
      </c>
      <c r="XM2">
        <v>0</v>
      </c>
      <c r="XN2">
        <v>0</v>
      </c>
      <c r="XO2">
        <v>754</v>
      </c>
      <c r="XP2">
        <v>0</v>
      </c>
      <c r="XQ2">
        <v>97</v>
      </c>
      <c r="XR2">
        <v>791</v>
      </c>
      <c r="XS2">
        <v>23</v>
      </c>
    </row>
    <row r="3" spans="1:643" x14ac:dyDescent="0.25">
      <c r="A3">
        <v>67</v>
      </c>
      <c r="B3">
        <v>2</v>
      </c>
      <c r="C3">
        <v>7194850809</v>
      </c>
      <c r="D3">
        <v>10</v>
      </c>
      <c r="E3">
        <v>0</v>
      </c>
      <c r="F3">
        <v>0</v>
      </c>
      <c r="G3">
        <v>10</v>
      </c>
      <c r="H3" s="2">
        <v>4.6634919999999997</v>
      </c>
      <c r="I3" s="2">
        <v>-74.132259000000005</v>
      </c>
      <c r="J3">
        <v>5</v>
      </c>
    </row>
    <row r="4" spans="1:643" x14ac:dyDescent="0.25">
      <c r="A4">
        <v>72</v>
      </c>
      <c r="B4">
        <v>3</v>
      </c>
      <c r="C4">
        <v>7194857405</v>
      </c>
      <c r="D4">
        <v>10</v>
      </c>
      <c r="E4">
        <v>0</v>
      </c>
      <c r="F4">
        <v>0</v>
      </c>
      <c r="G4">
        <v>10</v>
      </c>
      <c r="H4" s="2">
        <v>4.6663709999999998</v>
      </c>
      <c r="I4" s="2">
        <v>-74.052637000000004</v>
      </c>
      <c r="J4">
        <v>0</v>
      </c>
    </row>
    <row r="5" spans="1:643" x14ac:dyDescent="0.25">
      <c r="A5">
        <v>101</v>
      </c>
      <c r="B5">
        <v>4</v>
      </c>
      <c r="C5">
        <v>7194867604</v>
      </c>
      <c r="D5">
        <v>10</v>
      </c>
      <c r="E5">
        <v>0</v>
      </c>
      <c r="F5">
        <v>0</v>
      </c>
      <c r="G5">
        <v>10</v>
      </c>
      <c r="H5" s="2">
        <v>4.6958890000000002</v>
      </c>
      <c r="I5" s="2">
        <v>-74.044300000000007</v>
      </c>
      <c r="J5">
        <v>10</v>
      </c>
    </row>
    <row r="6" spans="1:643" x14ac:dyDescent="0.25">
      <c r="A6">
        <v>187</v>
      </c>
      <c r="B6">
        <v>5</v>
      </c>
      <c r="C6">
        <v>7194860925</v>
      </c>
      <c r="D6">
        <v>0</v>
      </c>
      <c r="E6">
        <v>10</v>
      </c>
      <c r="F6">
        <v>0</v>
      </c>
      <c r="G6">
        <v>10</v>
      </c>
      <c r="H6" s="2">
        <v>4.6290779999999998</v>
      </c>
      <c r="I6" s="2">
        <v>-74.089794999999995</v>
      </c>
      <c r="J6">
        <v>0</v>
      </c>
    </row>
    <row r="7" spans="1:643" x14ac:dyDescent="0.25">
      <c r="A7">
        <v>248</v>
      </c>
      <c r="B7">
        <v>6</v>
      </c>
      <c r="C7">
        <v>7194865825</v>
      </c>
      <c r="D7">
        <v>0</v>
      </c>
      <c r="E7">
        <v>10</v>
      </c>
      <c r="F7">
        <v>0</v>
      </c>
      <c r="G7">
        <v>10</v>
      </c>
      <c r="H7" s="2">
        <v>4.865564</v>
      </c>
      <c r="I7" s="2">
        <v>-74.039570999999995</v>
      </c>
      <c r="J7">
        <v>0</v>
      </c>
    </row>
    <row r="8" spans="1:643" x14ac:dyDescent="0.25">
      <c r="A8">
        <v>256</v>
      </c>
      <c r="B8">
        <v>7</v>
      </c>
      <c r="C8">
        <v>7194865758</v>
      </c>
      <c r="D8">
        <v>0</v>
      </c>
      <c r="E8">
        <v>0</v>
      </c>
      <c r="F8">
        <v>10</v>
      </c>
      <c r="G8">
        <v>10</v>
      </c>
      <c r="H8" s="2">
        <v>4.7607419999999996</v>
      </c>
      <c r="I8" s="2">
        <v>-74.059270999999995</v>
      </c>
      <c r="J8">
        <v>10</v>
      </c>
    </row>
    <row r="9" spans="1:643" x14ac:dyDescent="0.25">
      <c r="A9">
        <v>88</v>
      </c>
      <c r="B9">
        <v>8</v>
      </c>
      <c r="C9">
        <v>7194835838</v>
      </c>
      <c r="D9">
        <v>11</v>
      </c>
      <c r="E9">
        <v>0</v>
      </c>
      <c r="F9">
        <v>0</v>
      </c>
      <c r="G9">
        <v>11</v>
      </c>
      <c r="H9" s="2">
        <v>4.6854279999999999</v>
      </c>
      <c r="I9" s="2">
        <v>-74.060181999999998</v>
      </c>
      <c r="J9">
        <v>0</v>
      </c>
    </row>
    <row r="10" spans="1:643" x14ac:dyDescent="0.25">
      <c r="A10">
        <v>168</v>
      </c>
      <c r="B10">
        <v>9</v>
      </c>
      <c r="C10">
        <v>7194816053</v>
      </c>
      <c r="D10">
        <v>10</v>
      </c>
      <c r="E10">
        <v>2</v>
      </c>
      <c r="F10">
        <v>0</v>
      </c>
      <c r="G10">
        <v>12</v>
      </c>
      <c r="H10" s="2">
        <v>4.8755119999999996</v>
      </c>
      <c r="I10" s="2">
        <v>-74.039322999999996</v>
      </c>
      <c r="J10">
        <v>0</v>
      </c>
    </row>
    <row r="11" spans="1:643" x14ac:dyDescent="0.25">
      <c r="A11">
        <v>188</v>
      </c>
      <c r="B11">
        <v>10</v>
      </c>
      <c r="C11">
        <v>7194869122</v>
      </c>
      <c r="D11">
        <v>0</v>
      </c>
      <c r="E11">
        <v>12</v>
      </c>
      <c r="F11">
        <v>0</v>
      </c>
      <c r="G11">
        <v>12</v>
      </c>
      <c r="H11" s="2">
        <v>4.629937</v>
      </c>
      <c r="I11" s="2">
        <v>-74.128376000000003</v>
      </c>
      <c r="J11">
        <v>10</v>
      </c>
    </row>
    <row r="12" spans="1:643" x14ac:dyDescent="0.25">
      <c r="A12">
        <v>229</v>
      </c>
      <c r="B12">
        <v>11</v>
      </c>
      <c r="C12">
        <v>7194820673</v>
      </c>
      <c r="D12">
        <v>0</v>
      </c>
      <c r="E12">
        <v>12</v>
      </c>
      <c r="F12">
        <v>0</v>
      </c>
      <c r="G12">
        <v>12</v>
      </c>
      <c r="H12" s="2">
        <v>4.7325010000000001</v>
      </c>
      <c r="I12" s="2">
        <v>-74.065488999999999</v>
      </c>
      <c r="J12">
        <v>0</v>
      </c>
    </row>
    <row r="13" spans="1:643" x14ac:dyDescent="0.25">
      <c r="A13">
        <v>234</v>
      </c>
      <c r="B13">
        <v>12</v>
      </c>
      <c r="C13">
        <v>7194855278</v>
      </c>
      <c r="D13">
        <v>0</v>
      </c>
      <c r="E13">
        <v>12</v>
      </c>
      <c r="F13">
        <v>0</v>
      </c>
      <c r="G13">
        <v>12</v>
      </c>
      <c r="H13" s="2">
        <v>4.7498659999999999</v>
      </c>
      <c r="I13" s="2">
        <v>-74.145450999999994</v>
      </c>
      <c r="J13">
        <v>0</v>
      </c>
    </row>
    <row r="14" spans="1:643" x14ac:dyDescent="0.25">
      <c r="A14">
        <v>87</v>
      </c>
      <c r="B14">
        <v>13</v>
      </c>
      <c r="C14">
        <v>7194864026</v>
      </c>
      <c r="D14">
        <v>8</v>
      </c>
      <c r="E14">
        <v>5</v>
      </c>
      <c r="F14">
        <v>0</v>
      </c>
      <c r="G14">
        <v>13</v>
      </c>
      <c r="H14" s="2">
        <v>4.683478</v>
      </c>
      <c r="I14" s="2">
        <v>-74.164619999999999</v>
      </c>
      <c r="J14">
        <v>0</v>
      </c>
    </row>
    <row r="15" spans="1:643" x14ac:dyDescent="0.25">
      <c r="A15">
        <v>106</v>
      </c>
      <c r="B15">
        <v>14</v>
      </c>
      <c r="C15">
        <v>7194864609</v>
      </c>
      <c r="D15">
        <v>13</v>
      </c>
      <c r="E15">
        <v>0</v>
      </c>
      <c r="F15">
        <v>0</v>
      </c>
      <c r="G15">
        <v>13</v>
      </c>
      <c r="H15" s="2">
        <v>4.6972149999999999</v>
      </c>
      <c r="I15" s="2">
        <v>-74.050325999999998</v>
      </c>
      <c r="J15">
        <v>10</v>
      </c>
    </row>
    <row r="16" spans="1:643" x14ac:dyDescent="0.25">
      <c r="A16">
        <v>9</v>
      </c>
      <c r="B16">
        <v>15</v>
      </c>
      <c r="C16">
        <v>7194867076</v>
      </c>
      <c r="D16">
        <v>2</v>
      </c>
      <c r="E16">
        <v>12</v>
      </c>
      <c r="F16">
        <v>0</v>
      </c>
      <c r="G16">
        <v>14</v>
      </c>
      <c r="H16" s="2">
        <v>4.6000909999999999</v>
      </c>
      <c r="I16" s="2">
        <v>-74.065062999999995</v>
      </c>
      <c r="J16">
        <v>0</v>
      </c>
    </row>
    <row r="17" spans="1:10" x14ac:dyDescent="0.25">
      <c r="A17">
        <v>121</v>
      </c>
      <c r="B17">
        <v>16</v>
      </c>
      <c r="C17">
        <v>7194863857</v>
      </c>
      <c r="D17">
        <v>14</v>
      </c>
      <c r="E17">
        <v>0</v>
      </c>
      <c r="F17">
        <v>0</v>
      </c>
      <c r="G17">
        <v>14</v>
      </c>
      <c r="H17" s="2">
        <v>4.7073320000000001</v>
      </c>
      <c r="I17" s="2">
        <v>-74.051469999999995</v>
      </c>
      <c r="J17">
        <v>0</v>
      </c>
    </row>
    <row r="18" spans="1:10" x14ac:dyDescent="0.25">
      <c r="A18">
        <v>183</v>
      </c>
      <c r="B18">
        <v>17</v>
      </c>
      <c r="C18">
        <v>7194841705</v>
      </c>
      <c r="D18">
        <v>0</v>
      </c>
      <c r="E18">
        <v>14</v>
      </c>
      <c r="F18">
        <v>0</v>
      </c>
      <c r="G18">
        <v>14</v>
      </c>
      <c r="H18" s="2">
        <v>4.6178419999999996</v>
      </c>
      <c r="I18" s="2">
        <v>-74.099767999999997</v>
      </c>
      <c r="J18">
        <v>10</v>
      </c>
    </row>
    <row r="19" spans="1:10" x14ac:dyDescent="0.25">
      <c r="A19">
        <v>218</v>
      </c>
      <c r="B19">
        <v>18</v>
      </c>
      <c r="C19">
        <v>7194858455</v>
      </c>
      <c r="D19">
        <v>0</v>
      </c>
      <c r="E19">
        <v>14</v>
      </c>
      <c r="F19">
        <v>0</v>
      </c>
      <c r="G19">
        <v>14</v>
      </c>
      <c r="H19" s="2">
        <v>4.6905859999999997</v>
      </c>
      <c r="I19" s="2">
        <v>-74.065459000000004</v>
      </c>
      <c r="J19">
        <v>0</v>
      </c>
    </row>
    <row r="20" spans="1:10" x14ac:dyDescent="0.25">
      <c r="A20">
        <v>12</v>
      </c>
      <c r="B20">
        <v>19</v>
      </c>
      <c r="C20">
        <v>7194795199</v>
      </c>
      <c r="D20">
        <v>15</v>
      </c>
      <c r="E20">
        <v>0</v>
      </c>
      <c r="F20">
        <v>0</v>
      </c>
      <c r="G20">
        <v>15</v>
      </c>
      <c r="H20" s="2">
        <v>4.6068290000000003</v>
      </c>
      <c r="I20" s="2">
        <v>-74.217431000000005</v>
      </c>
      <c r="J20">
        <v>0</v>
      </c>
    </row>
    <row r="21" spans="1:10" x14ac:dyDescent="0.25">
      <c r="A21">
        <v>17</v>
      </c>
      <c r="B21">
        <v>20</v>
      </c>
      <c r="C21">
        <v>7194866931</v>
      </c>
      <c r="D21">
        <v>13</v>
      </c>
      <c r="E21">
        <v>2</v>
      </c>
      <c r="F21">
        <v>0</v>
      </c>
      <c r="G21">
        <v>15</v>
      </c>
      <c r="H21" s="2">
        <v>4.6181960000000002</v>
      </c>
      <c r="I21" s="2">
        <v>-74.137220999999997</v>
      </c>
      <c r="J21">
        <v>0</v>
      </c>
    </row>
    <row r="22" spans="1:10" x14ac:dyDescent="0.25">
      <c r="A22">
        <v>32</v>
      </c>
      <c r="B22">
        <v>21</v>
      </c>
      <c r="C22">
        <v>7194862025</v>
      </c>
      <c r="D22">
        <v>14</v>
      </c>
      <c r="E22">
        <v>1</v>
      </c>
      <c r="F22">
        <v>0</v>
      </c>
      <c r="G22">
        <v>15</v>
      </c>
      <c r="H22" s="2">
        <v>4.63089</v>
      </c>
      <c r="I22" s="2">
        <v>-74.064243000000005</v>
      </c>
      <c r="J22">
        <v>10</v>
      </c>
    </row>
    <row r="23" spans="1:10" x14ac:dyDescent="0.25">
      <c r="A23">
        <v>46</v>
      </c>
      <c r="B23">
        <v>22</v>
      </c>
      <c r="C23">
        <v>7194850840</v>
      </c>
      <c r="D23">
        <v>15</v>
      </c>
      <c r="E23">
        <v>0</v>
      </c>
      <c r="F23">
        <v>0</v>
      </c>
      <c r="G23">
        <v>15</v>
      </c>
      <c r="H23" s="2">
        <v>4.6459349999999997</v>
      </c>
      <c r="I23" s="2">
        <v>-74.103599000000003</v>
      </c>
      <c r="J23">
        <v>11</v>
      </c>
    </row>
    <row r="24" spans="1:10" x14ac:dyDescent="0.25">
      <c r="A24">
        <v>95</v>
      </c>
      <c r="B24">
        <v>23</v>
      </c>
      <c r="C24">
        <v>7194865620</v>
      </c>
      <c r="D24">
        <v>15</v>
      </c>
      <c r="E24">
        <v>0</v>
      </c>
      <c r="F24">
        <v>0</v>
      </c>
      <c r="G24">
        <v>15</v>
      </c>
      <c r="H24" s="2">
        <v>4.6917549999999997</v>
      </c>
      <c r="I24" s="2">
        <v>-74.034870999999995</v>
      </c>
      <c r="J24">
        <v>0</v>
      </c>
    </row>
    <row r="25" spans="1:10" x14ac:dyDescent="0.25">
      <c r="A25">
        <v>175</v>
      </c>
      <c r="B25">
        <v>24</v>
      </c>
      <c r="C25">
        <v>7194859901</v>
      </c>
      <c r="D25">
        <v>0</v>
      </c>
      <c r="E25">
        <v>15</v>
      </c>
      <c r="F25">
        <v>0</v>
      </c>
      <c r="G25">
        <v>15</v>
      </c>
      <c r="H25" s="2">
        <v>4.5930460000000002</v>
      </c>
      <c r="I25" s="2">
        <v>-74.169002000000006</v>
      </c>
      <c r="J25">
        <v>0</v>
      </c>
    </row>
    <row r="26" spans="1:10" x14ac:dyDescent="0.25">
      <c r="A26">
        <v>184</v>
      </c>
      <c r="B26">
        <v>25</v>
      </c>
      <c r="C26">
        <v>7194864233</v>
      </c>
      <c r="D26">
        <v>0</v>
      </c>
      <c r="E26">
        <v>15</v>
      </c>
      <c r="F26">
        <v>0</v>
      </c>
      <c r="G26">
        <v>15</v>
      </c>
      <c r="H26" s="2">
        <v>4.6218310000000002</v>
      </c>
      <c r="I26" s="2">
        <v>-74.149185000000003</v>
      </c>
      <c r="J26">
        <v>10</v>
      </c>
    </row>
    <row r="27" spans="1:10" x14ac:dyDescent="0.25">
      <c r="A27">
        <v>207</v>
      </c>
      <c r="B27">
        <v>26</v>
      </c>
      <c r="C27">
        <v>7194868442</v>
      </c>
      <c r="D27">
        <v>0</v>
      </c>
      <c r="E27">
        <v>15</v>
      </c>
      <c r="F27">
        <v>0</v>
      </c>
      <c r="G27">
        <v>15</v>
      </c>
      <c r="H27" s="2">
        <v>4.6683339999999998</v>
      </c>
      <c r="I27" s="2">
        <v>-74.054243999999997</v>
      </c>
      <c r="J27">
        <v>2</v>
      </c>
    </row>
    <row r="28" spans="1:10" x14ac:dyDescent="0.25">
      <c r="A28">
        <v>226</v>
      </c>
      <c r="B28">
        <v>27</v>
      </c>
      <c r="C28">
        <v>7194865745</v>
      </c>
      <c r="D28">
        <v>0</v>
      </c>
      <c r="E28">
        <v>15</v>
      </c>
      <c r="F28">
        <v>0</v>
      </c>
      <c r="G28">
        <v>15</v>
      </c>
      <c r="H28" s="2">
        <v>4.7178550000000001</v>
      </c>
      <c r="I28" s="2">
        <v>-74.029747</v>
      </c>
      <c r="J28">
        <v>0</v>
      </c>
    </row>
    <row r="29" spans="1:10" x14ac:dyDescent="0.25">
      <c r="A29">
        <v>247</v>
      </c>
      <c r="B29">
        <v>28</v>
      </c>
      <c r="C29">
        <v>7194867174</v>
      </c>
      <c r="D29">
        <v>0</v>
      </c>
      <c r="E29">
        <v>15</v>
      </c>
      <c r="F29">
        <v>0</v>
      </c>
      <c r="G29">
        <v>15</v>
      </c>
      <c r="H29" s="2">
        <v>4.8547000000000002</v>
      </c>
      <c r="I29" s="2">
        <v>-74.066468</v>
      </c>
      <c r="J29">
        <v>0</v>
      </c>
    </row>
    <row r="30" spans="1:10" x14ac:dyDescent="0.25">
      <c r="A30">
        <v>10</v>
      </c>
      <c r="B30">
        <v>29</v>
      </c>
      <c r="C30">
        <v>7194869657</v>
      </c>
      <c r="D30">
        <v>16</v>
      </c>
      <c r="E30">
        <v>0</v>
      </c>
      <c r="F30">
        <v>0</v>
      </c>
      <c r="G30">
        <v>16</v>
      </c>
      <c r="H30" s="2">
        <v>4.6037100000000004</v>
      </c>
      <c r="I30" s="2">
        <v>-74.086907999999994</v>
      </c>
      <c r="J30">
        <v>12</v>
      </c>
    </row>
    <row r="31" spans="1:10" x14ac:dyDescent="0.25">
      <c r="A31">
        <v>116</v>
      </c>
      <c r="B31">
        <v>30</v>
      </c>
      <c r="C31">
        <v>7194865525</v>
      </c>
      <c r="D31">
        <v>11</v>
      </c>
      <c r="E31">
        <v>5</v>
      </c>
      <c r="F31">
        <v>0</v>
      </c>
      <c r="G31">
        <v>16</v>
      </c>
      <c r="H31" s="2">
        <v>4.7025269999999999</v>
      </c>
      <c r="I31" s="2">
        <v>-74.039420000000007</v>
      </c>
      <c r="J31">
        <v>0</v>
      </c>
    </row>
    <row r="32" spans="1:10" x14ac:dyDescent="0.25">
      <c r="A32">
        <v>166</v>
      </c>
      <c r="B32">
        <v>31</v>
      </c>
      <c r="C32">
        <v>7194866257</v>
      </c>
      <c r="D32">
        <v>16</v>
      </c>
      <c r="E32">
        <v>0</v>
      </c>
      <c r="F32">
        <v>0</v>
      </c>
      <c r="G32">
        <v>16</v>
      </c>
      <c r="H32" s="2">
        <v>4.8274879999999998</v>
      </c>
      <c r="I32" s="2">
        <v>-74.031227999999999</v>
      </c>
      <c r="J32">
        <v>0</v>
      </c>
    </row>
    <row r="33" spans="1:10" x14ac:dyDescent="0.25">
      <c r="A33">
        <v>110</v>
      </c>
      <c r="B33">
        <v>32</v>
      </c>
      <c r="C33">
        <v>7194803454</v>
      </c>
      <c r="D33">
        <v>17</v>
      </c>
      <c r="E33">
        <v>0</v>
      </c>
      <c r="F33">
        <v>0</v>
      </c>
      <c r="G33">
        <v>17</v>
      </c>
      <c r="H33" s="2">
        <v>4.6989919999999996</v>
      </c>
      <c r="I33" s="2">
        <v>-74.051118000000002</v>
      </c>
      <c r="J33">
        <v>12</v>
      </c>
    </row>
    <row r="34" spans="1:10" x14ac:dyDescent="0.25">
      <c r="A34">
        <v>144</v>
      </c>
      <c r="B34">
        <v>33</v>
      </c>
      <c r="C34">
        <v>7194864190</v>
      </c>
      <c r="D34">
        <v>10</v>
      </c>
      <c r="E34">
        <v>7</v>
      </c>
      <c r="F34">
        <v>0</v>
      </c>
      <c r="G34">
        <v>17</v>
      </c>
      <c r="H34" s="2">
        <v>4.7417600000000002</v>
      </c>
      <c r="I34" s="2">
        <v>-74.025712999999996</v>
      </c>
      <c r="J34">
        <v>0</v>
      </c>
    </row>
    <row r="35" spans="1:10" x14ac:dyDescent="0.25">
      <c r="A35">
        <v>156</v>
      </c>
      <c r="B35">
        <v>34</v>
      </c>
      <c r="C35">
        <v>7194866232</v>
      </c>
      <c r="D35">
        <v>12</v>
      </c>
      <c r="E35">
        <v>5</v>
      </c>
      <c r="F35">
        <v>0</v>
      </c>
      <c r="G35">
        <v>17</v>
      </c>
      <c r="H35" s="2">
        <v>4.7783569999999997</v>
      </c>
      <c r="I35" s="2">
        <v>-74.140221999999994</v>
      </c>
      <c r="J35">
        <v>0</v>
      </c>
    </row>
    <row r="36" spans="1:10" x14ac:dyDescent="0.25">
      <c r="A36">
        <v>78</v>
      </c>
      <c r="B36">
        <v>35</v>
      </c>
      <c r="C36">
        <v>7194867430</v>
      </c>
      <c r="D36">
        <v>13</v>
      </c>
      <c r="E36">
        <v>5</v>
      </c>
      <c r="F36">
        <v>0</v>
      </c>
      <c r="G36">
        <v>18</v>
      </c>
      <c r="H36" s="2">
        <v>4.6730470000000004</v>
      </c>
      <c r="I36" s="2">
        <v>-74.048151000000004</v>
      </c>
      <c r="J36">
        <v>12</v>
      </c>
    </row>
    <row r="37" spans="1:10" x14ac:dyDescent="0.25">
      <c r="A37">
        <v>147</v>
      </c>
      <c r="B37">
        <v>36</v>
      </c>
      <c r="C37">
        <v>7194830858</v>
      </c>
      <c r="D37">
        <v>18</v>
      </c>
      <c r="E37">
        <v>0</v>
      </c>
      <c r="F37">
        <v>0</v>
      </c>
      <c r="G37">
        <v>18</v>
      </c>
      <c r="H37" s="2">
        <v>4.7501499999999997</v>
      </c>
      <c r="I37" s="2">
        <v>-74.065482000000003</v>
      </c>
      <c r="J37">
        <v>0</v>
      </c>
    </row>
    <row r="38" spans="1:10" x14ac:dyDescent="0.25">
      <c r="A38">
        <v>193</v>
      </c>
      <c r="B38">
        <v>37</v>
      </c>
      <c r="C38">
        <v>7194874166</v>
      </c>
      <c r="D38">
        <v>0</v>
      </c>
      <c r="E38">
        <v>8</v>
      </c>
      <c r="F38">
        <v>10</v>
      </c>
      <c r="G38">
        <v>18</v>
      </c>
      <c r="H38" s="2">
        <v>4.6438059999999997</v>
      </c>
      <c r="I38" s="2">
        <v>-74.069458999999995</v>
      </c>
      <c r="J38">
        <v>8</v>
      </c>
    </row>
    <row r="39" spans="1:10" x14ac:dyDescent="0.25">
      <c r="A39">
        <v>232</v>
      </c>
      <c r="B39">
        <v>38</v>
      </c>
      <c r="C39">
        <v>7194865967</v>
      </c>
      <c r="D39">
        <v>0</v>
      </c>
      <c r="E39">
        <v>18</v>
      </c>
      <c r="F39">
        <v>0</v>
      </c>
      <c r="G39">
        <v>18</v>
      </c>
      <c r="H39" s="2">
        <v>4.7485499999999998</v>
      </c>
      <c r="I39" s="2">
        <v>-74.043736999999993</v>
      </c>
      <c r="J39">
        <v>5</v>
      </c>
    </row>
    <row r="40" spans="1:10" x14ac:dyDescent="0.25">
      <c r="A40">
        <v>44</v>
      </c>
      <c r="B40">
        <v>39</v>
      </c>
      <c r="C40">
        <v>7194815329</v>
      </c>
      <c r="D40">
        <v>3</v>
      </c>
      <c r="E40">
        <v>4</v>
      </c>
      <c r="F40">
        <v>12</v>
      </c>
      <c r="G40">
        <v>19</v>
      </c>
      <c r="H40" s="2">
        <v>4.6435389999999996</v>
      </c>
      <c r="I40" s="2">
        <v>-74.115739000000005</v>
      </c>
      <c r="J40">
        <v>0</v>
      </c>
    </row>
    <row r="41" spans="1:10" x14ac:dyDescent="0.25">
      <c r="A41">
        <v>91</v>
      </c>
      <c r="B41">
        <v>40</v>
      </c>
      <c r="C41">
        <v>7194865183</v>
      </c>
      <c r="D41">
        <v>19</v>
      </c>
      <c r="E41">
        <v>0</v>
      </c>
      <c r="F41">
        <v>0</v>
      </c>
      <c r="G41">
        <v>19</v>
      </c>
      <c r="H41" s="2">
        <v>4.6892630000000004</v>
      </c>
      <c r="I41" s="2">
        <v>-74.128377</v>
      </c>
      <c r="J41">
        <v>13</v>
      </c>
    </row>
    <row r="42" spans="1:10" x14ac:dyDescent="0.25">
      <c r="A42">
        <v>206</v>
      </c>
      <c r="B42">
        <v>41</v>
      </c>
      <c r="C42">
        <v>7194866117</v>
      </c>
      <c r="D42">
        <v>0</v>
      </c>
      <c r="E42">
        <v>19</v>
      </c>
      <c r="F42">
        <v>0</v>
      </c>
      <c r="G42">
        <v>19</v>
      </c>
      <c r="H42" s="2">
        <v>4.6667490000000003</v>
      </c>
      <c r="I42" s="2">
        <v>-74.054530999999997</v>
      </c>
      <c r="J42">
        <v>0</v>
      </c>
    </row>
    <row r="43" spans="1:10" x14ac:dyDescent="0.25">
      <c r="A43">
        <v>246</v>
      </c>
      <c r="B43">
        <v>42</v>
      </c>
      <c r="C43">
        <v>7194863347</v>
      </c>
      <c r="D43">
        <v>0</v>
      </c>
      <c r="E43">
        <v>12</v>
      </c>
      <c r="F43">
        <v>7</v>
      </c>
      <c r="G43">
        <v>19</v>
      </c>
      <c r="H43" s="2">
        <v>4.807976</v>
      </c>
      <c r="I43" s="2">
        <v>-74.069312999999994</v>
      </c>
      <c r="J43">
        <v>0</v>
      </c>
    </row>
    <row r="44" spans="1:10" x14ac:dyDescent="0.25">
      <c r="A44">
        <v>47</v>
      </c>
      <c r="B44">
        <v>43</v>
      </c>
      <c r="C44">
        <v>7194845772</v>
      </c>
      <c r="D44">
        <v>2</v>
      </c>
      <c r="E44">
        <v>18</v>
      </c>
      <c r="F44">
        <v>0</v>
      </c>
      <c r="G44">
        <v>20</v>
      </c>
      <c r="H44" s="2">
        <v>4.6459830000000002</v>
      </c>
      <c r="I44" s="2">
        <v>-74.060243999999997</v>
      </c>
      <c r="J44">
        <v>2</v>
      </c>
    </row>
    <row r="45" spans="1:10" x14ac:dyDescent="0.25">
      <c r="A45">
        <v>100</v>
      </c>
      <c r="B45">
        <v>44</v>
      </c>
      <c r="C45">
        <v>7194864199</v>
      </c>
      <c r="D45">
        <v>20</v>
      </c>
      <c r="E45">
        <v>0</v>
      </c>
      <c r="F45">
        <v>0</v>
      </c>
      <c r="G45">
        <v>20</v>
      </c>
      <c r="H45" s="2">
        <v>4.6954330000000004</v>
      </c>
      <c r="I45" s="2">
        <v>-74.030552999999998</v>
      </c>
      <c r="J45">
        <v>12</v>
      </c>
    </row>
    <row r="46" spans="1:10" x14ac:dyDescent="0.25">
      <c r="A46">
        <v>151</v>
      </c>
      <c r="B46">
        <v>45</v>
      </c>
      <c r="C46">
        <v>7194851004</v>
      </c>
      <c r="D46">
        <v>20</v>
      </c>
      <c r="E46">
        <v>0</v>
      </c>
      <c r="F46">
        <v>0</v>
      </c>
      <c r="G46">
        <v>20</v>
      </c>
      <c r="H46" s="2">
        <v>4.7633460000000003</v>
      </c>
      <c r="I46" s="2">
        <v>-74.046232000000003</v>
      </c>
      <c r="J46">
        <v>0</v>
      </c>
    </row>
    <row r="47" spans="1:10" x14ac:dyDescent="0.25">
      <c r="A47">
        <v>201</v>
      </c>
      <c r="B47">
        <v>46</v>
      </c>
      <c r="C47">
        <v>7194850692</v>
      </c>
      <c r="D47">
        <v>0</v>
      </c>
      <c r="E47">
        <v>20</v>
      </c>
      <c r="F47">
        <v>0</v>
      </c>
      <c r="G47">
        <v>20</v>
      </c>
      <c r="H47" s="2">
        <v>4.6613889999999998</v>
      </c>
      <c r="I47" s="2">
        <v>-74.100898000000001</v>
      </c>
      <c r="J47">
        <v>14</v>
      </c>
    </row>
    <row r="48" spans="1:10" x14ac:dyDescent="0.25">
      <c r="A48">
        <v>250</v>
      </c>
      <c r="B48">
        <v>47</v>
      </c>
      <c r="C48">
        <v>7194864864</v>
      </c>
      <c r="D48">
        <v>0</v>
      </c>
      <c r="E48">
        <v>0</v>
      </c>
      <c r="F48">
        <v>20</v>
      </c>
      <c r="G48">
        <v>20</v>
      </c>
      <c r="H48" s="2">
        <v>4.5978690000000002</v>
      </c>
      <c r="I48" s="2">
        <v>-74.067409999999995</v>
      </c>
      <c r="J48">
        <v>0</v>
      </c>
    </row>
    <row r="49" spans="1:10" x14ac:dyDescent="0.25">
      <c r="A49">
        <v>16</v>
      </c>
      <c r="B49">
        <v>48</v>
      </c>
      <c r="C49">
        <v>7194845229</v>
      </c>
      <c r="D49">
        <v>13</v>
      </c>
      <c r="E49">
        <v>8</v>
      </c>
      <c r="F49">
        <v>0</v>
      </c>
      <c r="G49">
        <v>21</v>
      </c>
      <c r="H49" s="2">
        <v>4.6160920000000001</v>
      </c>
      <c r="I49" s="2">
        <v>-74.071138000000005</v>
      </c>
      <c r="J49">
        <v>0</v>
      </c>
    </row>
    <row r="50" spans="1:10" x14ac:dyDescent="0.25">
      <c r="A50">
        <v>74</v>
      </c>
      <c r="B50">
        <v>49</v>
      </c>
      <c r="C50">
        <v>7194815798</v>
      </c>
      <c r="D50">
        <v>21</v>
      </c>
      <c r="E50">
        <v>0</v>
      </c>
      <c r="F50">
        <v>0</v>
      </c>
      <c r="G50">
        <v>21</v>
      </c>
      <c r="H50" s="2">
        <v>4.6692640000000001</v>
      </c>
      <c r="I50" s="2">
        <v>-74.063890000000001</v>
      </c>
      <c r="J50">
        <v>0</v>
      </c>
    </row>
    <row r="51" spans="1:10" x14ac:dyDescent="0.25">
      <c r="A51">
        <v>113</v>
      </c>
      <c r="B51">
        <v>50</v>
      </c>
      <c r="C51">
        <v>7194865483</v>
      </c>
      <c r="D51">
        <v>11</v>
      </c>
      <c r="E51">
        <v>10</v>
      </c>
      <c r="F51">
        <v>0</v>
      </c>
      <c r="G51">
        <v>21</v>
      </c>
      <c r="H51" s="2">
        <v>4.7021319999999998</v>
      </c>
      <c r="I51" s="2">
        <v>-74.041151999999997</v>
      </c>
      <c r="J51">
        <v>14</v>
      </c>
    </row>
    <row r="52" spans="1:10" x14ac:dyDescent="0.25">
      <c r="A52">
        <v>181</v>
      </c>
      <c r="B52">
        <v>51</v>
      </c>
      <c r="C52">
        <v>7194826480</v>
      </c>
      <c r="D52">
        <v>0</v>
      </c>
      <c r="E52">
        <v>21</v>
      </c>
      <c r="F52">
        <v>0</v>
      </c>
      <c r="G52">
        <v>21</v>
      </c>
      <c r="H52" s="2">
        <v>4.6068290000000003</v>
      </c>
      <c r="I52" s="2">
        <v>-74.217431000000005</v>
      </c>
      <c r="J52">
        <v>0</v>
      </c>
    </row>
    <row r="53" spans="1:10" x14ac:dyDescent="0.25">
      <c r="A53">
        <v>211</v>
      </c>
      <c r="B53">
        <v>52</v>
      </c>
      <c r="C53">
        <v>7194864908</v>
      </c>
      <c r="D53">
        <v>0</v>
      </c>
      <c r="E53">
        <v>21</v>
      </c>
      <c r="F53">
        <v>0</v>
      </c>
      <c r="G53">
        <v>21</v>
      </c>
      <c r="H53" s="2">
        <v>4.6743290000000002</v>
      </c>
      <c r="I53" s="2">
        <v>-74.070690999999997</v>
      </c>
      <c r="J53">
        <v>0</v>
      </c>
    </row>
    <row r="54" spans="1:10" x14ac:dyDescent="0.25">
      <c r="A54">
        <v>255</v>
      </c>
      <c r="B54">
        <v>53</v>
      </c>
      <c r="C54">
        <v>7194860803</v>
      </c>
      <c r="D54">
        <v>0</v>
      </c>
      <c r="E54">
        <v>0</v>
      </c>
      <c r="F54">
        <v>21</v>
      </c>
      <c r="G54">
        <v>21</v>
      </c>
      <c r="H54" s="2">
        <v>4.7433290000000001</v>
      </c>
      <c r="I54" s="2">
        <v>-74.042948999999993</v>
      </c>
      <c r="J54">
        <v>14</v>
      </c>
    </row>
    <row r="55" spans="1:10" x14ac:dyDescent="0.25">
      <c r="A55">
        <v>198</v>
      </c>
      <c r="B55">
        <v>54</v>
      </c>
      <c r="C55">
        <v>7194815397</v>
      </c>
      <c r="D55">
        <v>0</v>
      </c>
      <c r="E55">
        <v>22</v>
      </c>
      <c r="F55">
        <v>0</v>
      </c>
      <c r="G55">
        <v>22</v>
      </c>
      <c r="H55" s="2">
        <v>4.654363</v>
      </c>
      <c r="I55" s="2">
        <v>-74.055813000000001</v>
      </c>
      <c r="J55">
        <v>0</v>
      </c>
    </row>
    <row r="56" spans="1:10" x14ac:dyDescent="0.25">
      <c r="A56">
        <v>41</v>
      </c>
      <c r="B56">
        <v>55</v>
      </c>
      <c r="C56">
        <v>7194858484</v>
      </c>
      <c r="D56">
        <v>24</v>
      </c>
      <c r="E56">
        <v>0</v>
      </c>
      <c r="F56">
        <v>0</v>
      </c>
      <c r="G56">
        <v>24</v>
      </c>
      <c r="H56" s="2">
        <v>4.6390440000000002</v>
      </c>
      <c r="I56" s="2">
        <v>-74.098243999999994</v>
      </c>
      <c r="J56">
        <v>15</v>
      </c>
    </row>
    <row r="57" spans="1:10" x14ac:dyDescent="0.25">
      <c r="A57">
        <v>65</v>
      </c>
      <c r="B57">
        <v>56</v>
      </c>
      <c r="C57">
        <v>7194872125</v>
      </c>
      <c r="D57">
        <v>4</v>
      </c>
      <c r="E57">
        <v>20</v>
      </c>
      <c r="F57">
        <v>0</v>
      </c>
      <c r="G57">
        <v>24</v>
      </c>
      <c r="H57" s="2">
        <v>4.6627450000000001</v>
      </c>
      <c r="I57" s="2">
        <v>-74.056309999999996</v>
      </c>
      <c r="J57">
        <v>0</v>
      </c>
    </row>
    <row r="58" spans="1:10" x14ac:dyDescent="0.25">
      <c r="A58">
        <v>68</v>
      </c>
      <c r="B58">
        <v>57</v>
      </c>
      <c r="C58">
        <v>7194858213</v>
      </c>
      <c r="D58">
        <v>24</v>
      </c>
      <c r="E58">
        <v>0</v>
      </c>
      <c r="F58">
        <v>0</v>
      </c>
      <c r="G58">
        <v>24</v>
      </c>
      <c r="H58" s="2">
        <v>4.6637050000000002</v>
      </c>
      <c r="I58" s="2">
        <v>-74.049415999999994</v>
      </c>
      <c r="J58">
        <v>0</v>
      </c>
    </row>
    <row r="59" spans="1:10" x14ac:dyDescent="0.25">
      <c r="A59">
        <v>258</v>
      </c>
      <c r="B59">
        <v>58</v>
      </c>
      <c r="C59">
        <v>7194864836</v>
      </c>
      <c r="D59">
        <v>0</v>
      </c>
      <c r="E59">
        <v>0</v>
      </c>
      <c r="F59">
        <v>24</v>
      </c>
      <c r="G59">
        <v>24</v>
      </c>
      <c r="H59" s="2">
        <v>4.7928990000000002</v>
      </c>
      <c r="I59" s="2">
        <v>-74.076076999999998</v>
      </c>
      <c r="J59">
        <v>13</v>
      </c>
    </row>
    <row r="60" spans="1:10" x14ac:dyDescent="0.25">
      <c r="A60">
        <v>111</v>
      </c>
      <c r="B60">
        <v>59</v>
      </c>
      <c r="C60">
        <v>7194698430</v>
      </c>
      <c r="D60">
        <v>25</v>
      </c>
      <c r="E60">
        <v>0</v>
      </c>
      <c r="F60">
        <v>0</v>
      </c>
      <c r="G60">
        <v>25</v>
      </c>
      <c r="H60" s="2">
        <v>4.6990439999999998</v>
      </c>
      <c r="I60" s="2">
        <v>-74.140962999999999</v>
      </c>
      <c r="J60">
        <v>2</v>
      </c>
    </row>
    <row r="61" spans="1:10" x14ac:dyDescent="0.25">
      <c r="A61">
        <v>148</v>
      </c>
      <c r="B61">
        <v>60</v>
      </c>
      <c r="C61">
        <v>7194865489</v>
      </c>
      <c r="D61">
        <v>1</v>
      </c>
      <c r="E61">
        <v>0</v>
      </c>
      <c r="F61">
        <v>24</v>
      </c>
      <c r="G61">
        <v>25</v>
      </c>
      <c r="H61" s="2">
        <v>4.752472</v>
      </c>
      <c r="I61" s="2">
        <v>-74.052105999999995</v>
      </c>
      <c r="J61">
        <v>0</v>
      </c>
    </row>
    <row r="62" spans="1:10" x14ac:dyDescent="0.25">
      <c r="A62">
        <v>202</v>
      </c>
      <c r="B62">
        <v>61</v>
      </c>
      <c r="C62">
        <v>7194823787</v>
      </c>
      <c r="D62">
        <v>0</v>
      </c>
      <c r="E62">
        <v>25</v>
      </c>
      <c r="F62">
        <v>0</v>
      </c>
      <c r="G62">
        <v>25</v>
      </c>
      <c r="H62" s="2">
        <v>4.6620280000000003</v>
      </c>
      <c r="I62" s="2">
        <v>-74.080489999999998</v>
      </c>
      <c r="J62">
        <v>14</v>
      </c>
    </row>
    <row r="63" spans="1:10" x14ac:dyDescent="0.25">
      <c r="A63">
        <v>127</v>
      </c>
      <c r="B63">
        <v>62</v>
      </c>
      <c r="C63">
        <v>7194862957</v>
      </c>
      <c r="D63">
        <v>6</v>
      </c>
      <c r="E63">
        <v>6</v>
      </c>
      <c r="F63">
        <v>14</v>
      </c>
      <c r="G63">
        <v>26</v>
      </c>
      <c r="H63" s="2">
        <v>4.7178300000000002</v>
      </c>
      <c r="I63" s="2">
        <v>-74.044098000000005</v>
      </c>
      <c r="J63">
        <v>1</v>
      </c>
    </row>
    <row r="64" spans="1:10" x14ac:dyDescent="0.25">
      <c r="A64">
        <v>137</v>
      </c>
      <c r="B64">
        <v>63</v>
      </c>
      <c r="C64">
        <v>7194781665</v>
      </c>
      <c r="D64">
        <v>19</v>
      </c>
      <c r="E64">
        <v>0</v>
      </c>
      <c r="F64">
        <v>9</v>
      </c>
      <c r="G64">
        <v>28</v>
      </c>
      <c r="H64" s="2">
        <v>4.7357110000000002</v>
      </c>
      <c r="I64" s="2">
        <v>-74.270556999999997</v>
      </c>
      <c r="J64">
        <v>0</v>
      </c>
    </row>
    <row r="65" spans="1:10" x14ac:dyDescent="0.25">
      <c r="A65">
        <v>231</v>
      </c>
      <c r="B65">
        <v>64</v>
      </c>
      <c r="C65">
        <v>7194816240</v>
      </c>
      <c r="D65">
        <v>0</v>
      </c>
      <c r="E65">
        <v>28</v>
      </c>
      <c r="F65">
        <v>0</v>
      </c>
      <c r="G65">
        <v>28</v>
      </c>
      <c r="H65" s="2">
        <v>4.74803</v>
      </c>
      <c r="I65" s="2">
        <v>-74.162796</v>
      </c>
      <c r="J65">
        <v>15</v>
      </c>
    </row>
    <row r="66" spans="1:10" x14ac:dyDescent="0.25">
      <c r="A66">
        <v>157</v>
      </c>
      <c r="B66">
        <v>65</v>
      </c>
      <c r="C66">
        <v>7194868217</v>
      </c>
      <c r="D66">
        <v>3</v>
      </c>
      <c r="E66">
        <v>26</v>
      </c>
      <c r="F66">
        <v>0</v>
      </c>
      <c r="G66">
        <v>29</v>
      </c>
      <c r="H66" s="2">
        <v>4.784198</v>
      </c>
      <c r="I66" s="2">
        <v>-74.043983999999995</v>
      </c>
      <c r="J66">
        <v>0</v>
      </c>
    </row>
    <row r="67" spans="1:10" x14ac:dyDescent="0.25">
      <c r="A67">
        <v>199</v>
      </c>
      <c r="B67">
        <v>66</v>
      </c>
      <c r="C67">
        <v>7194851496</v>
      </c>
      <c r="D67">
        <v>0</v>
      </c>
      <c r="E67">
        <v>29</v>
      </c>
      <c r="F67">
        <v>0</v>
      </c>
      <c r="G67">
        <v>29</v>
      </c>
      <c r="H67" s="2">
        <v>4.6575600000000001</v>
      </c>
      <c r="I67" s="2">
        <v>-74.056760999999995</v>
      </c>
      <c r="J67">
        <v>0</v>
      </c>
    </row>
    <row r="68" spans="1:10" x14ac:dyDescent="0.25">
      <c r="A68">
        <v>233</v>
      </c>
      <c r="B68">
        <v>67</v>
      </c>
      <c r="C68">
        <v>7194868151</v>
      </c>
      <c r="D68">
        <v>0</v>
      </c>
      <c r="E68">
        <v>29</v>
      </c>
      <c r="F68">
        <v>0</v>
      </c>
      <c r="G68">
        <v>29</v>
      </c>
      <c r="H68" s="2">
        <v>4.7494779999999999</v>
      </c>
      <c r="I68" s="2">
        <v>-74.038182000000006</v>
      </c>
      <c r="J68">
        <v>15</v>
      </c>
    </row>
    <row r="69" spans="1:10" x14ac:dyDescent="0.25">
      <c r="A69">
        <v>173</v>
      </c>
      <c r="B69">
        <v>68</v>
      </c>
      <c r="C69">
        <v>7194859863</v>
      </c>
      <c r="D69">
        <v>0</v>
      </c>
      <c r="E69">
        <v>30</v>
      </c>
      <c r="F69">
        <v>0</v>
      </c>
      <c r="G69">
        <v>30</v>
      </c>
      <c r="H69" s="2">
        <v>4.5809059999999997</v>
      </c>
      <c r="I69" s="2">
        <v>-74.126936999999998</v>
      </c>
      <c r="J69">
        <v>0</v>
      </c>
    </row>
    <row r="70" spans="1:10" x14ac:dyDescent="0.25">
      <c r="A70">
        <v>149</v>
      </c>
      <c r="B70">
        <v>69</v>
      </c>
      <c r="C70">
        <v>7194839041</v>
      </c>
      <c r="D70">
        <v>28</v>
      </c>
      <c r="E70">
        <v>0</v>
      </c>
      <c r="F70">
        <v>3</v>
      </c>
      <c r="G70">
        <v>31</v>
      </c>
      <c r="H70" s="2">
        <v>4.7560450000000003</v>
      </c>
      <c r="I70" s="2">
        <v>-74.135349000000005</v>
      </c>
      <c r="J70">
        <v>0</v>
      </c>
    </row>
    <row r="71" spans="1:10" x14ac:dyDescent="0.25">
      <c r="A71">
        <v>53</v>
      </c>
      <c r="B71">
        <v>70</v>
      </c>
      <c r="C71">
        <v>7194850316</v>
      </c>
      <c r="D71">
        <v>16</v>
      </c>
      <c r="E71">
        <v>17</v>
      </c>
      <c r="F71">
        <v>0</v>
      </c>
      <c r="G71">
        <v>33</v>
      </c>
      <c r="H71" s="2">
        <v>4.6525369999999997</v>
      </c>
      <c r="I71" s="2">
        <v>-74.109316000000007</v>
      </c>
      <c r="J71">
        <v>0</v>
      </c>
    </row>
    <row r="72" spans="1:10" x14ac:dyDescent="0.25">
      <c r="A72">
        <v>192</v>
      </c>
      <c r="B72">
        <v>71</v>
      </c>
      <c r="C72">
        <v>7194822919</v>
      </c>
      <c r="D72">
        <v>0</v>
      </c>
      <c r="E72">
        <v>34</v>
      </c>
      <c r="F72">
        <v>0</v>
      </c>
      <c r="G72">
        <v>34</v>
      </c>
      <c r="H72" s="2">
        <v>4.6410039999999997</v>
      </c>
      <c r="I72" s="2">
        <v>-74.117482999999993</v>
      </c>
      <c r="J72">
        <v>15</v>
      </c>
    </row>
    <row r="73" spans="1:10" x14ac:dyDescent="0.25">
      <c r="A73">
        <v>228</v>
      </c>
      <c r="B73">
        <v>72</v>
      </c>
      <c r="C73">
        <v>7194867901</v>
      </c>
      <c r="D73">
        <v>0</v>
      </c>
      <c r="E73">
        <v>34</v>
      </c>
      <c r="F73">
        <v>0</v>
      </c>
      <c r="G73">
        <v>34</v>
      </c>
      <c r="H73" s="2">
        <v>4.7321489999999997</v>
      </c>
      <c r="I73" s="2">
        <v>-74.040616</v>
      </c>
      <c r="J73">
        <v>0</v>
      </c>
    </row>
    <row r="74" spans="1:10" x14ac:dyDescent="0.25">
      <c r="A74">
        <v>138</v>
      </c>
      <c r="B74">
        <v>73</v>
      </c>
      <c r="C74">
        <v>7194864635</v>
      </c>
      <c r="D74">
        <v>20</v>
      </c>
      <c r="E74">
        <v>16</v>
      </c>
      <c r="F74">
        <v>0</v>
      </c>
      <c r="G74">
        <v>36</v>
      </c>
      <c r="H74" s="2">
        <v>4.7375990000000003</v>
      </c>
      <c r="I74" s="2">
        <v>-74.025225000000006</v>
      </c>
      <c r="J74">
        <v>0</v>
      </c>
    </row>
    <row r="75" spans="1:10" x14ac:dyDescent="0.25">
      <c r="A75">
        <v>146</v>
      </c>
      <c r="B75">
        <v>74</v>
      </c>
      <c r="C75">
        <v>7194863823</v>
      </c>
      <c r="D75">
        <v>12</v>
      </c>
      <c r="E75">
        <v>24</v>
      </c>
      <c r="F75">
        <v>0</v>
      </c>
      <c r="G75">
        <v>36</v>
      </c>
      <c r="H75" s="2">
        <v>4.7471579999999998</v>
      </c>
      <c r="I75" s="2">
        <v>-74.044473999999994</v>
      </c>
      <c r="J75">
        <v>15</v>
      </c>
    </row>
    <row r="76" spans="1:10" x14ac:dyDescent="0.25">
      <c r="A76">
        <v>205</v>
      </c>
      <c r="B76">
        <v>75</v>
      </c>
      <c r="C76">
        <v>7194799842</v>
      </c>
      <c r="D76">
        <v>0</v>
      </c>
      <c r="E76">
        <v>36</v>
      </c>
      <c r="F76">
        <v>0</v>
      </c>
      <c r="G76">
        <v>36</v>
      </c>
      <c r="H76" s="2">
        <v>4.6663709999999998</v>
      </c>
      <c r="I76" s="2">
        <v>-74.052642000000006</v>
      </c>
      <c r="J76">
        <v>0</v>
      </c>
    </row>
    <row r="77" spans="1:10" x14ac:dyDescent="0.25">
      <c r="A77">
        <v>89</v>
      </c>
      <c r="B77">
        <v>76</v>
      </c>
      <c r="C77">
        <v>7194865587</v>
      </c>
      <c r="D77">
        <v>26</v>
      </c>
      <c r="E77">
        <v>11</v>
      </c>
      <c r="F77">
        <v>0</v>
      </c>
      <c r="G77">
        <v>37</v>
      </c>
      <c r="H77" s="2">
        <v>4.6862740000000001</v>
      </c>
      <c r="I77" s="2">
        <v>-74.052616</v>
      </c>
      <c r="J77">
        <v>0</v>
      </c>
    </row>
    <row r="78" spans="1:10" x14ac:dyDescent="0.25">
      <c r="A78">
        <v>239</v>
      </c>
      <c r="B78">
        <v>77</v>
      </c>
      <c r="C78">
        <v>7194820452</v>
      </c>
      <c r="D78">
        <v>0</v>
      </c>
      <c r="E78">
        <v>37</v>
      </c>
      <c r="F78">
        <v>0</v>
      </c>
      <c r="G78">
        <v>37</v>
      </c>
      <c r="H78" s="2">
        <v>4.7607419999999996</v>
      </c>
      <c r="I78" s="2">
        <v>-74.059270999999995</v>
      </c>
      <c r="J78">
        <v>15</v>
      </c>
    </row>
    <row r="79" spans="1:10" x14ac:dyDescent="0.25">
      <c r="A79">
        <v>128</v>
      </c>
      <c r="B79">
        <v>78</v>
      </c>
      <c r="C79">
        <v>7194864618</v>
      </c>
      <c r="D79">
        <v>8</v>
      </c>
      <c r="E79">
        <v>30</v>
      </c>
      <c r="F79">
        <v>0</v>
      </c>
      <c r="G79">
        <v>38</v>
      </c>
      <c r="H79" s="2">
        <v>4.7226509999999999</v>
      </c>
      <c r="I79" s="2">
        <v>-74.071174999999997</v>
      </c>
      <c r="J79">
        <v>0</v>
      </c>
    </row>
    <row r="80" spans="1:10" x14ac:dyDescent="0.25">
      <c r="A80">
        <v>179</v>
      </c>
      <c r="B80">
        <v>79</v>
      </c>
      <c r="C80">
        <v>7194858481</v>
      </c>
      <c r="D80">
        <v>0</v>
      </c>
      <c r="E80">
        <v>37</v>
      </c>
      <c r="F80">
        <v>2</v>
      </c>
      <c r="G80">
        <v>39</v>
      </c>
      <c r="H80" s="2">
        <v>4.6012570000000004</v>
      </c>
      <c r="I80" s="2">
        <v>-74.074725999999998</v>
      </c>
      <c r="J80">
        <v>0</v>
      </c>
    </row>
    <row r="81" spans="1:10" x14ac:dyDescent="0.25">
      <c r="A81">
        <v>22</v>
      </c>
      <c r="B81">
        <v>80</v>
      </c>
      <c r="C81">
        <v>7194868838</v>
      </c>
      <c r="D81">
        <v>3</v>
      </c>
      <c r="E81">
        <v>37</v>
      </c>
      <c r="F81">
        <v>0</v>
      </c>
      <c r="G81">
        <v>40</v>
      </c>
      <c r="H81" s="2">
        <v>4.6256490000000001</v>
      </c>
      <c r="I81" s="2">
        <v>-74.111041999999998</v>
      </c>
      <c r="J81">
        <v>15</v>
      </c>
    </row>
    <row r="82" spans="1:10" x14ac:dyDescent="0.25">
      <c r="A82">
        <v>204</v>
      </c>
      <c r="B82">
        <v>81</v>
      </c>
      <c r="C82">
        <v>7194871417</v>
      </c>
      <c r="D82">
        <v>0</v>
      </c>
      <c r="E82">
        <v>40</v>
      </c>
      <c r="F82">
        <v>0</v>
      </c>
      <c r="G82">
        <v>40</v>
      </c>
      <c r="H82" s="2">
        <v>4.6663079999999999</v>
      </c>
      <c r="I82" s="2">
        <v>-74.055583999999996</v>
      </c>
      <c r="J82">
        <v>0</v>
      </c>
    </row>
    <row r="83" spans="1:10" x14ac:dyDescent="0.25">
      <c r="A83">
        <v>123</v>
      </c>
      <c r="B83">
        <v>82</v>
      </c>
      <c r="C83">
        <v>7194867614</v>
      </c>
      <c r="D83">
        <v>29</v>
      </c>
      <c r="E83">
        <v>0</v>
      </c>
      <c r="F83">
        <v>13</v>
      </c>
      <c r="G83">
        <v>42</v>
      </c>
      <c r="H83" s="2">
        <v>4.7113240000000003</v>
      </c>
      <c r="I83" s="2">
        <v>-74.032477</v>
      </c>
      <c r="J83">
        <v>0</v>
      </c>
    </row>
    <row r="84" spans="1:10" x14ac:dyDescent="0.25">
      <c r="A84">
        <v>6</v>
      </c>
      <c r="B84">
        <v>83</v>
      </c>
      <c r="C84">
        <v>7194865029</v>
      </c>
      <c r="D84">
        <v>20</v>
      </c>
      <c r="E84">
        <v>3</v>
      </c>
      <c r="F84">
        <v>20</v>
      </c>
      <c r="G84">
        <v>43</v>
      </c>
      <c r="H84" s="2">
        <v>4.5965499999999997</v>
      </c>
      <c r="I84" s="2">
        <v>-74.067683000000002</v>
      </c>
      <c r="J84">
        <v>15</v>
      </c>
    </row>
    <row r="85" spans="1:10" x14ac:dyDescent="0.25">
      <c r="A85">
        <v>153</v>
      </c>
      <c r="B85">
        <v>84</v>
      </c>
      <c r="C85">
        <v>7194866071</v>
      </c>
      <c r="D85">
        <v>43</v>
      </c>
      <c r="E85">
        <v>0</v>
      </c>
      <c r="F85">
        <v>0</v>
      </c>
      <c r="G85">
        <v>43</v>
      </c>
      <c r="H85" s="2">
        <v>4.7706790000000003</v>
      </c>
      <c r="I85" s="2">
        <v>-74.041309999999996</v>
      </c>
      <c r="J85">
        <v>0</v>
      </c>
    </row>
    <row r="86" spans="1:10" x14ac:dyDescent="0.25">
      <c r="A86">
        <v>238</v>
      </c>
      <c r="B86">
        <v>85</v>
      </c>
      <c r="C86">
        <v>7194866498</v>
      </c>
      <c r="D86">
        <v>0</v>
      </c>
      <c r="E86">
        <v>43</v>
      </c>
      <c r="F86">
        <v>0</v>
      </c>
      <c r="G86">
        <v>43</v>
      </c>
      <c r="H86" s="2">
        <v>4.7594339999999997</v>
      </c>
      <c r="I86" s="2">
        <v>-74.151770999999997</v>
      </c>
      <c r="J86">
        <v>16</v>
      </c>
    </row>
    <row r="87" spans="1:10" x14ac:dyDescent="0.25">
      <c r="A87">
        <v>7</v>
      </c>
      <c r="B87">
        <v>86</v>
      </c>
      <c r="C87">
        <v>7194821176</v>
      </c>
      <c r="D87">
        <v>38</v>
      </c>
      <c r="E87">
        <v>6</v>
      </c>
      <c r="F87">
        <v>0</v>
      </c>
      <c r="G87">
        <v>44</v>
      </c>
      <c r="H87" s="2">
        <v>4.5978690000000002</v>
      </c>
      <c r="I87" s="2">
        <v>-74.067409999999995</v>
      </c>
      <c r="J87">
        <v>0</v>
      </c>
    </row>
    <row r="88" spans="1:10" x14ac:dyDescent="0.25">
      <c r="A88">
        <v>42</v>
      </c>
      <c r="B88">
        <v>87</v>
      </c>
      <c r="C88">
        <v>7194838823</v>
      </c>
      <c r="D88">
        <v>5</v>
      </c>
      <c r="E88">
        <v>39</v>
      </c>
      <c r="F88">
        <v>0</v>
      </c>
      <c r="G88">
        <v>44</v>
      </c>
      <c r="H88" s="2">
        <v>4.6410819999999999</v>
      </c>
      <c r="I88" s="2">
        <v>-74.123429000000002</v>
      </c>
      <c r="J88">
        <v>0</v>
      </c>
    </row>
    <row r="89" spans="1:10" x14ac:dyDescent="0.25">
      <c r="A89">
        <v>63</v>
      </c>
      <c r="B89">
        <v>88</v>
      </c>
      <c r="C89">
        <v>7194861584</v>
      </c>
      <c r="D89">
        <v>6</v>
      </c>
      <c r="E89">
        <v>38</v>
      </c>
      <c r="F89">
        <v>0</v>
      </c>
      <c r="G89">
        <v>44</v>
      </c>
      <c r="H89" s="2">
        <v>4.6617040000000003</v>
      </c>
      <c r="I89" s="2">
        <v>-74.132422000000005</v>
      </c>
      <c r="J89">
        <v>11</v>
      </c>
    </row>
    <row r="90" spans="1:10" x14ac:dyDescent="0.25">
      <c r="A90">
        <v>125</v>
      </c>
      <c r="B90">
        <v>89</v>
      </c>
      <c r="C90">
        <v>7194864728</v>
      </c>
      <c r="D90">
        <v>32</v>
      </c>
      <c r="E90">
        <v>0</v>
      </c>
      <c r="F90">
        <v>12</v>
      </c>
      <c r="G90">
        <v>44</v>
      </c>
      <c r="H90" s="2">
        <v>4.7152190000000003</v>
      </c>
      <c r="I90" s="2">
        <v>-74.216830000000002</v>
      </c>
      <c r="J90">
        <v>5</v>
      </c>
    </row>
    <row r="91" spans="1:10" x14ac:dyDescent="0.25">
      <c r="A91">
        <v>195</v>
      </c>
      <c r="B91">
        <v>90</v>
      </c>
      <c r="C91">
        <v>7194864049</v>
      </c>
      <c r="D91">
        <v>0</v>
      </c>
      <c r="E91">
        <v>46</v>
      </c>
      <c r="F91">
        <v>0</v>
      </c>
      <c r="G91">
        <v>46</v>
      </c>
      <c r="H91" s="2">
        <v>4.6488040000000002</v>
      </c>
      <c r="I91" s="2">
        <v>-74.056793999999996</v>
      </c>
      <c r="J91">
        <v>0</v>
      </c>
    </row>
    <row r="92" spans="1:10" x14ac:dyDescent="0.25">
      <c r="A92">
        <v>96</v>
      </c>
      <c r="B92">
        <v>91</v>
      </c>
      <c r="C92">
        <v>7194860377</v>
      </c>
      <c r="D92">
        <v>21</v>
      </c>
      <c r="E92">
        <v>12</v>
      </c>
      <c r="F92">
        <v>14</v>
      </c>
      <c r="G92">
        <v>47</v>
      </c>
      <c r="H92" s="2">
        <v>4.6924999999999999</v>
      </c>
      <c r="I92" s="2">
        <v>-74.068284000000006</v>
      </c>
      <c r="J92">
        <v>16</v>
      </c>
    </row>
    <row r="93" spans="1:10" x14ac:dyDescent="0.25">
      <c r="A93">
        <v>197</v>
      </c>
      <c r="B93">
        <v>92</v>
      </c>
      <c r="C93">
        <v>7194869932</v>
      </c>
      <c r="D93">
        <v>0</v>
      </c>
      <c r="E93">
        <v>48</v>
      </c>
      <c r="F93">
        <v>0</v>
      </c>
      <c r="G93">
        <v>48</v>
      </c>
      <c r="H93" s="2">
        <v>4.6535390000000003</v>
      </c>
      <c r="I93" s="2">
        <v>-74.054803000000007</v>
      </c>
      <c r="J93">
        <v>0</v>
      </c>
    </row>
    <row r="94" spans="1:10" x14ac:dyDescent="0.25">
      <c r="A94">
        <v>159</v>
      </c>
      <c r="B94">
        <v>93</v>
      </c>
      <c r="C94">
        <v>7194864087</v>
      </c>
      <c r="D94">
        <v>23</v>
      </c>
      <c r="E94">
        <v>26</v>
      </c>
      <c r="F94">
        <v>0</v>
      </c>
      <c r="G94">
        <v>49</v>
      </c>
      <c r="H94" s="2">
        <v>4.7930380000000001</v>
      </c>
      <c r="I94" s="2">
        <v>-74.04383</v>
      </c>
      <c r="J94">
        <v>0</v>
      </c>
    </row>
    <row r="95" spans="1:10" x14ac:dyDescent="0.25">
      <c r="A95">
        <v>208</v>
      </c>
      <c r="B95">
        <v>94</v>
      </c>
      <c r="C95">
        <v>7194815861</v>
      </c>
      <c r="D95">
        <v>0</v>
      </c>
      <c r="E95">
        <v>49</v>
      </c>
      <c r="F95">
        <v>0</v>
      </c>
      <c r="G95">
        <v>49</v>
      </c>
      <c r="H95" s="2">
        <v>4.6692640000000001</v>
      </c>
      <c r="I95" s="2">
        <v>-74.063890000000001</v>
      </c>
      <c r="J95">
        <v>17</v>
      </c>
    </row>
    <row r="96" spans="1:10" x14ac:dyDescent="0.25">
      <c r="A96">
        <v>64</v>
      </c>
      <c r="B96">
        <v>95</v>
      </c>
      <c r="C96">
        <v>7194865436</v>
      </c>
      <c r="D96">
        <v>40</v>
      </c>
      <c r="E96">
        <v>10</v>
      </c>
      <c r="F96">
        <v>0</v>
      </c>
      <c r="G96">
        <v>50</v>
      </c>
      <c r="H96" s="2">
        <v>4.6617899999999999</v>
      </c>
      <c r="I96" s="2">
        <v>-74.109494999999995</v>
      </c>
      <c r="J96">
        <v>0</v>
      </c>
    </row>
    <row r="97" spans="1:10" x14ac:dyDescent="0.25">
      <c r="A97">
        <v>105</v>
      </c>
      <c r="B97">
        <v>96</v>
      </c>
      <c r="C97">
        <v>7194859936</v>
      </c>
      <c r="D97">
        <v>20</v>
      </c>
      <c r="E97">
        <v>30</v>
      </c>
      <c r="F97">
        <v>0</v>
      </c>
      <c r="G97">
        <v>50</v>
      </c>
      <c r="H97" s="2">
        <v>4.6970510000000001</v>
      </c>
      <c r="I97" s="2">
        <v>-74.205757000000006</v>
      </c>
      <c r="J97">
        <v>0</v>
      </c>
    </row>
    <row r="98" spans="1:10" x14ac:dyDescent="0.25">
      <c r="A98">
        <v>122</v>
      </c>
      <c r="B98">
        <v>97</v>
      </c>
      <c r="C98">
        <v>7194858223</v>
      </c>
      <c r="D98">
        <v>50</v>
      </c>
      <c r="E98">
        <v>0</v>
      </c>
      <c r="F98">
        <v>0</v>
      </c>
      <c r="G98">
        <v>50</v>
      </c>
      <c r="H98" s="2">
        <v>4.7086629999999996</v>
      </c>
      <c r="I98" s="2">
        <v>-74.041647999999995</v>
      </c>
      <c r="J98">
        <v>10</v>
      </c>
    </row>
    <row r="99" spans="1:10" x14ac:dyDescent="0.25">
      <c r="A99">
        <v>5</v>
      </c>
      <c r="B99">
        <v>98</v>
      </c>
      <c r="C99">
        <v>7194828089</v>
      </c>
      <c r="D99">
        <v>30</v>
      </c>
      <c r="E99">
        <v>21</v>
      </c>
      <c r="F99">
        <v>0</v>
      </c>
      <c r="G99">
        <v>51</v>
      </c>
      <c r="H99" s="2">
        <v>4.5916589999999999</v>
      </c>
      <c r="I99" s="2">
        <v>-74.123153000000002</v>
      </c>
      <c r="J99">
        <v>7</v>
      </c>
    </row>
    <row r="100" spans="1:10" x14ac:dyDescent="0.25">
      <c r="A100">
        <v>80</v>
      </c>
      <c r="B100">
        <v>99</v>
      </c>
      <c r="C100">
        <v>7194848649</v>
      </c>
      <c r="D100">
        <v>6</v>
      </c>
      <c r="E100">
        <v>45</v>
      </c>
      <c r="F100">
        <v>0</v>
      </c>
      <c r="G100">
        <v>51</v>
      </c>
      <c r="H100" s="2">
        <v>4.6743779999999999</v>
      </c>
      <c r="I100" s="2">
        <v>-74.047999000000004</v>
      </c>
      <c r="J100">
        <v>0</v>
      </c>
    </row>
    <row r="101" spans="1:10" x14ac:dyDescent="0.25">
      <c r="A101">
        <v>176</v>
      </c>
      <c r="B101">
        <v>100</v>
      </c>
      <c r="C101">
        <v>7194863991</v>
      </c>
      <c r="D101">
        <v>0</v>
      </c>
      <c r="E101">
        <v>51</v>
      </c>
      <c r="F101">
        <v>0</v>
      </c>
      <c r="G101">
        <v>51</v>
      </c>
      <c r="H101" s="2">
        <v>4.5965490000000004</v>
      </c>
      <c r="I101" s="2">
        <v>-74.067682000000005</v>
      </c>
      <c r="J101">
        <v>12</v>
      </c>
    </row>
    <row r="102" spans="1:10" x14ac:dyDescent="0.25">
      <c r="A102">
        <v>164</v>
      </c>
      <c r="B102">
        <v>101</v>
      </c>
      <c r="C102">
        <v>7194862783</v>
      </c>
      <c r="D102">
        <v>3</v>
      </c>
      <c r="E102">
        <v>0</v>
      </c>
      <c r="F102">
        <v>50</v>
      </c>
      <c r="G102">
        <v>53</v>
      </c>
      <c r="H102" s="2">
        <v>4.8079749999999999</v>
      </c>
      <c r="I102" s="2">
        <v>-74.069312999999994</v>
      </c>
      <c r="J102">
        <v>5</v>
      </c>
    </row>
    <row r="103" spans="1:10" x14ac:dyDescent="0.25">
      <c r="A103">
        <v>79</v>
      </c>
      <c r="B103">
        <v>102</v>
      </c>
      <c r="C103">
        <v>7194873485</v>
      </c>
      <c r="D103">
        <v>33</v>
      </c>
      <c r="E103">
        <v>11</v>
      </c>
      <c r="F103">
        <v>10</v>
      </c>
      <c r="G103">
        <v>54</v>
      </c>
      <c r="H103" s="2">
        <v>4.6733310000000001</v>
      </c>
      <c r="I103" s="2">
        <v>-74.053589000000002</v>
      </c>
      <c r="J103">
        <v>0</v>
      </c>
    </row>
    <row r="104" spans="1:10" x14ac:dyDescent="0.25">
      <c r="A104">
        <v>203</v>
      </c>
      <c r="B104">
        <v>103</v>
      </c>
      <c r="C104">
        <v>7194821290</v>
      </c>
      <c r="D104">
        <v>0</v>
      </c>
      <c r="E104">
        <v>54</v>
      </c>
      <c r="F104">
        <v>0</v>
      </c>
      <c r="G104">
        <v>54</v>
      </c>
      <c r="H104" s="2">
        <v>4.6637930000000001</v>
      </c>
      <c r="I104" s="2">
        <v>-74.072248999999999</v>
      </c>
      <c r="J104">
        <v>13</v>
      </c>
    </row>
    <row r="105" spans="1:10" x14ac:dyDescent="0.25">
      <c r="A105">
        <v>252</v>
      </c>
      <c r="B105">
        <v>104</v>
      </c>
      <c r="C105">
        <v>7194856815</v>
      </c>
      <c r="D105">
        <v>0</v>
      </c>
      <c r="E105">
        <v>0</v>
      </c>
      <c r="F105">
        <v>54</v>
      </c>
      <c r="G105">
        <v>54</v>
      </c>
      <c r="H105" s="2">
        <v>4.6314650000000004</v>
      </c>
      <c r="I105" s="2">
        <v>-74.155158999999998</v>
      </c>
      <c r="J105">
        <v>5</v>
      </c>
    </row>
    <row r="106" spans="1:10" x14ac:dyDescent="0.25">
      <c r="A106">
        <v>33</v>
      </c>
      <c r="B106">
        <v>105</v>
      </c>
      <c r="C106">
        <v>7194864183</v>
      </c>
      <c r="D106">
        <v>8</v>
      </c>
      <c r="E106">
        <v>47</v>
      </c>
      <c r="F106">
        <v>0</v>
      </c>
      <c r="G106">
        <v>55</v>
      </c>
      <c r="H106" s="2">
        <v>4.6310799999999999</v>
      </c>
      <c r="I106" s="2">
        <v>-74.092651000000004</v>
      </c>
      <c r="J106">
        <v>0</v>
      </c>
    </row>
    <row r="107" spans="1:10" x14ac:dyDescent="0.25">
      <c r="A107">
        <v>69</v>
      </c>
      <c r="B107">
        <v>106</v>
      </c>
      <c r="C107">
        <v>7194816466</v>
      </c>
      <c r="D107">
        <v>37</v>
      </c>
      <c r="E107">
        <v>20</v>
      </c>
      <c r="F107">
        <v>0</v>
      </c>
      <c r="G107">
        <v>57</v>
      </c>
      <c r="H107" s="2">
        <v>4.6637339999999998</v>
      </c>
      <c r="I107" s="2">
        <v>-74.079887999999997</v>
      </c>
      <c r="J107">
        <v>18</v>
      </c>
    </row>
    <row r="108" spans="1:10" x14ac:dyDescent="0.25">
      <c r="A108">
        <v>20</v>
      </c>
      <c r="B108">
        <v>107</v>
      </c>
      <c r="C108">
        <v>7194817079</v>
      </c>
      <c r="D108">
        <v>36</v>
      </c>
      <c r="E108">
        <v>22</v>
      </c>
      <c r="F108">
        <v>0</v>
      </c>
      <c r="G108">
        <v>58</v>
      </c>
      <c r="H108" s="2">
        <v>4.6236410000000001</v>
      </c>
      <c r="I108" s="2">
        <v>-74.082007000000004</v>
      </c>
      <c r="J108">
        <v>0</v>
      </c>
    </row>
    <row r="109" spans="1:10" x14ac:dyDescent="0.25">
      <c r="A109">
        <v>160</v>
      </c>
      <c r="B109">
        <v>108</v>
      </c>
      <c r="C109">
        <v>7194818415</v>
      </c>
      <c r="D109">
        <v>26</v>
      </c>
      <c r="E109">
        <v>32</v>
      </c>
      <c r="F109">
        <v>0</v>
      </c>
      <c r="G109">
        <v>58</v>
      </c>
      <c r="H109" s="2">
        <v>4.7953270000000003</v>
      </c>
      <c r="I109" s="2">
        <v>-74.046931000000001</v>
      </c>
      <c r="J109">
        <v>0</v>
      </c>
    </row>
    <row r="110" spans="1:10" x14ac:dyDescent="0.25">
      <c r="A110">
        <v>29</v>
      </c>
      <c r="B110">
        <v>109</v>
      </c>
      <c r="C110">
        <v>7194840804</v>
      </c>
      <c r="D110">
        <v>1</v>
      </c>
      <c r="E110">
        <v>59</v>
      </c>
      <c r="F110">
        <v>0</v>
      </c>
      <c r="G110">
        <v>60</v>
      </c>
      <c r="H110" s="2">
        <v>4.6299219999999996</v>
      </c>
      <c r="I110" s="2">
        <v>-74.112145999999996</v>
      </c>
      <c r="J110">
        <v>0</v>
      </c>
    </row>
    <row r="111" spans="1:10" x14ac:dyDescent="0.25">
      <c r="A111">
        <v>59</v>
      </c>
      <c r="B111">
        <v>110</v>
      </c>
      <c r="C111">
        <v>7194865225</v>
      </c>
      <c r="D111">
        <v>20</v>
      </c>
      <c r="E111">
        <v>40</v>
      </c>
      <c r="F111">
        <v>0</v>
      </c>
      <c r="G111">
        <v>60</v>
      </c>
      <c r="H111" s="2">
        <v>4.6565300000000001</v>
      </c>
      <c r="I111" s="2">
        <v>-74.060050000000004</v>
      </c>
      <c r="J111">
        <v>8</v>
      </c>
    </row>
    <row r="112" spans="1:10" x14ac:dyDescent="0.25">
      <c r="A112">
        <v>66</v>
      </c>
      <c r="B112">
        <v>111</v>
      </c>
      <c r="C112">
        <v>7194866155</v>
      </c>
      <c r="D112">
        <v>24</v>
      </c>
      <c r="E112">
        <v>27</v>
      </c>
      <c r="F112">
        <v>9</v>
      </c>
      <c r="G112">
        <v>60</v>
      </c>
      <c r="H112" s="2">
        <v>4.662871</v>
      </c>
      <c r="I112" s="2">
        <v>-74.052481999999998</v>
      </c>
      <c r="J112">
        <v>10</v>
      </c>
    </row>
    <row r="113" spans="1:10" x14ac:dyDescent="0.25">
      <c r="A113">
        <v>141</v>
      </c>
      <c r="B113">
        <v>112</v>
      </c>
      <c r="C113">
        <v>7194791756</v>
      </c>
      <c r="D113">
        <v>20</v>
      </c>
      <c r="E113">
        <v>42</v>
      </c>
      <c r="F113">
        <v>0</v>
      </c>
      <c r="G113">
        <v>62</v>
      </c>
      <c r="H113" s="2">
        <v>4.7391839999999998</v>
      </c>
      <c r="I113" s="2">
        <v>-74.178839999999994</v>
      </c>
      <c r="J113">
        <v>0</v>
      </c>
    </row>
    <row r="114" spans="1:10" x14ac:dyDescent="0.25">
      <c r="A114">
        <v>243</v>
      </c>
      <c r="B114">
        <v>113</v>
      </c>
      <c r="C114">
        <v>7194865234</v>
      </c>
      <c r="D114">
        <v>0</v>
      </c>
      <c r="E114">
        <v>62</v>
      </c>
      <c r="F114">
        <v>0</v>
      </c>
      <c r="G114">
        <v>62</v>
      </c>
      <c r="H114" s="2">
        <v>4.7733090000000002</v>
      </c>
      <c r="I114" s="2">
        <v>-74.052640999999994</v>
      </c>
      <c r="J114">
        <v>18</v>
      </c>
    </row>
    <row r="115" spans="1:10" x14ac:dyDescent="0.25">
      <c r="A115">
        <v>27</v>
      </c>
      <c r="B115">
        <v>114</v>
      </c>
      <c r="C115">
        <v>7194860564</v>
      </c>
      <c r="D115">
        <v>41</v>
      </c>
      <c r="E115">
        <v>23</v>
      </c>
      <c r="F115">
        <v>0</v>
      </c>
      <c r="G115">
        <v>64</v>
      </c>
      <c r="H115" s="2">
        <v>4.6290480000000001</v>
      </c>
      <c r="I115" s="2">
        <v>-74.063131999999996</v>
      </c>
      <c r="J115">
        <v>0</v>
      </c>
    </row>
    <row r="116" spans="1:10" x14ac:dyDescent="0.25">
      <c r="A116">
        <v>93</v>
      </c>
      <c r="B116">
        <v>115</v>
      </c>
      <c r="C116">
        <v>7194846863</v>
      </c>
      <c r="D116">
        <v>15</v>
      </c>
      <c r="E116">
        <v>50</v>
      </c>
      <c r="F116">
        <v>0</v>
      </c>
      <c r="G116">
        <v>65</v>
      </c>
      <c r="H116" s="2">
        <v>4.6906109999999996</v>
      </c>
      <c r="I116" s="2">
        <v>-74.038202999999996</v>
      </c>
      <c r="J116">
        <v>3</v>
      </c>
    </row>
    <row r="117" spans="1:10" x14ac:dyDescent="0.25">
      <c r="A117">
        <v>235</v>
      </c>
      <c r="B117">
        <v>116</v>
      </c>
      <c r="C117">
        <v>7194824295</v>
      </c>
      <c r="D117">
        <v>0</v>
      </c>
      <c r="E117">
        <v>57</v>
      </c>
      <c r="F117">
        <v>9</v>
      </c>
      <c r="G117">
        <v>66</v>
      </c>
      <c r="H117" s="2">
        <v>4.7501499999999997</v>
      </c>
      <c r="I117" s="2">
        <v>-74.065482000000003</v>
      </c>
      <c r="J117">
        <v>4</v>
      </c>
    </row>
    <row r="118" spans="1:10" x14ac:dyDescent="0.25">
      <c r="A118">
        <v>236</v>
      </c>
      <c r="B118">
        <v>117</v>
      </c>
      <c r="C118">
        <v>7194867814</v>
      </c>
      <c r="D118">
        <v>0</v>
      </c>
      <c r="E118">
        <v>66</v>
      </c>
      <c r="F118">
        <v>0</v>
      </c>
      <c r="G118">
        <v>66</v>
      </c>
      <c r="H118" s="2">
        <v>4.7506029999999999</v>
      </c>
      <c r="I118" s="2">
        <v>-74.044379000000006</v>
      </c>
      <c r="J118">
        <v>12</v>
      </c>
    </row>
    <row r="119" spans="1:10" x14ac:dyDescent="0.25">
      <c r="A119">
        <v>19</v>
      </c>
      <c r="B119">
        <v>118</v>
      </c>
      <c r="C119">
        <v>7194825082</v>
      </c>
      <c r="D119">
        <v>4</v>
      </c>
      <c r="E119">
        <v>63</v>
      </c>
      <c r="F119">
        <v>0</v>
      </c>
      <c r="G119">
        <v>67</v>
      </c>
      <c r="H119" s="2">
        <v>4.6229630000000004</v>
      </c>
      <c r="I119" s="2">
        <v>-74.077488000000002</v>
      </c>
      <c r="J119">
        <v>19</v>
      </c>
    </row>
    <row r="120" spans="1:10" x14ac:dyDescent="0.25">
      <c r="A120">
        <v>99</v>
      </c>
      <c r="B120">
        <v>119</v>
      </c>
      <c r="C120">
        <v>7194865290</v>
      </c>
      <c r="D120">
        <v>63</v>
      </c>
      <c r="E120">
        <v>5</v>
      </c>
      <c r="F120">
        <v>0</v>
      </c>
      <c r="G120">
        <v>68</v>
      </c>
      <c r="H120" s="2">
        <v>4.6935349999999998</v>
      </c>
      <c r="I120" s="2">
        <v>-74.134482000000006</v>
      </c>
      <c r="J120">
        <v>0</v>
      </c>
    </row>
    <row r="121" spans="1:10" x14ac:dyDescent="0.25">
      <c r="A121">
        <v>139</v>
      </c>
      <c r="B121">
        <v>120</v>
      </c>
      <c r="C121">
        <v>7194863828</v>
      </c>
      <c r="D121">
        <v>69</v>
      </c>
      <c r="E121">
        <v>0</v>
      </c>
      <c r="F121">
        <v>0</v>
      </c>
      <c r="G121">
        <v>69</v>
      </c>
      <c r="H121" s="2">
        <v>4.7376110000000002</v>
      </c>
      <c r="I121" s="2">
        <v>-74.029437000000001</v>
      </c>
      <c r="J121">
        <v>0</v>
      </c>
    </row>
    <row r="122" spans="1:10" x14ac:dyDescent="0.25">
      <c r="A122">
        <v>76</v>
      </c>
      <c r="B122">
        <v>121</v>
      </c>
      <c r="C122">
        <v>7194858466</v>
      </c>
      <c r="D122">
        <v>65</v>
      </c>
      <c r="E122">
        <v>11</v>
      </c>
      <c r="F122">
        <v>0</v>
      </c>
      <c r="G122">
        <v>76</v>
      </c>
      <c r="H122" s="2">
        <v>4.6697389999999999</v>
      </c>
      <c r="I122" s="2">
        <v>-74.053314999999998</v>
      </c>
      <c r="J122">
        <v>0</v>
      </c>
    </row>
    <row r="123" spans="1:10" x14ac:dyDescent="0.25">
      <c r="A123">
        <v>114</v>
      </c>
      <c r="B123">
        <v>122</v>
      </c>
      <c r="C123">
        <v>7194863841</v>
      </c>
      <c r="D123">
        <v>42</v>
      </c>
      <c r="E123">
        <v>36</v>
      </c>
      <c r="F123">
        <v>0</v>
      </c>
      <c r="G123">
        <v>78</v>
      </c>
      <c r="H123" s="2">
        <v>4.7022050000000002</v>
      </c>
      <c r="I123" s="2">
        <v>-74.042705999999995</v>
      </c>
      <c r="J123">
        <v>19</v>
      </c>
    </row>
    <row r="124" spans="1:10" x14ac:dyDescent="0.25">
      <c r="A124">
        <v>222</v>
      </c>
      <c r="B124">
        <v>123</v>
      </c>
      <c r="C124">
        <v>7194858393</v>
      </c>
      <c r="D124">
        <v>0</v>
      </c>
      <c r="E124">
        <v>79</v>
      </c>
      <c r="F124">
        <v>0</v>
      </c>
      <c r="G124">
        <v>79</v>
      </c>
      <c r="H124" s="2">
        <v>4.7086629999999996</v>
      </c>
      <c r="I124" s="2">
        <v>-74.041647999999995</v>
      </c>
      <c r="J124">
        <v>0</v>
      </c>
    </row>
    <row r="125" spans="1:10" x14ac:dyDescent="0.25">
      <c r="A125">
        <v>13</v>
      </c>
      <c r="B125">
        <v>124</v>
      </c>
      <c r="C125">
        <v>7194865107</v>
      </c>
      <c r="D125">
        <v>30</v>
      </c>
      <c r="E125">
        <v>50</v>
      </c>
      <c r="F125">
        <v>0</v>
      </c>
      <c r="G125">
        <v>80</v>
      </c>
      <c r="H125" s="2">
        <v>4.6114360000000003</v>
      </c>
      <c r="I125" s="2">
        <v>-74.077100000000002</v>
      </c>
      <c r="J125">
        <v>0</v>
      </c>
    </row>
    <row r="126" spans="1:10" x14ac:dyDescent="0.25">
      <c r="A126">
        <v>51</v>
      </c>
      <c r="B126">
        <v>125</v>
      </c>
      <c r="C126">
        <v>7194870304</v>
      </c>
      <c r="D126">
        <v>44</v>
      </c>
      <c r="E126">
        <v>36</v>
      </c>
      <c r="F126">
        <v>0</v>
      </c>
      <c r="G126">
        <v>80</v>
      </c>
      <c r="H126" s="2">
        <v>4.6515950000000004</v>
      </c>
      <c r="I126" s="2">
        <v>-74.106772000000007</v>
      </c>
      <c r="J126">
        <v>12</v>
      </c>
    </row>
    <row r="127" spans="1:10" x14ac:dyDescent="0.25">
      <c r="A127">
        <v>85</v>
      </c>
      <c r="B127">
        <v>126</v>
      </c>
      <c r="C127">
        <v>7194790334</v>
      </c>
      <c r="D127">
        <v>80</v>
      </c>
      <c r="E127">
        <v>0</v>
      </c>
      <c r="F127">
        <v>0</v>
      </c>
      <c r="G127">
        <v>80</v>
      </c>
      <c r="H127" s="2">
        <v>4.6810679999999998</v>
      </c>
      <c r="I127" s="2">
        <v>-74.068145000000001</v>
      </c>
      <c r="J127">
        <v>7</v>
      </c>
    </row>
    <row r="128" spans="1:10" x14ac:dyDescent="0.25">
      <c r="A128">
        <v>244</v>
      </c>
      <c r="B128">
        <v>127</v>
      </c>
      <c r="C128">
        <v>7194859761</v>
      </c>
      <c r="D128">
        <v>0</v>
      </c>
      <c r="E128">
        <v>81</v>
      </c>
      <c r="F128">
        <v>0</v>
      </c>
      <c r="G128">
        <v>81</v>
      </c>
      <c r="H128" s="2">
        <v>4.780259</v>
      </c>
      <c r="I128" s="2">
        <v>-74.183404999999993</v>
      </c>
      <c r="J128">
        <v>2</v>
      </c>
    </row>
    <row r="129" spans="1:10" x14ac:dyDescent="0.25">
      <c r="A129">
        <v>177</v>
      </c>
      <c r="B129">
        <v>128</v>
      </c>
      <c r="C129">
        <v>7194837633</v>
      </c>
      <c r="D129">
        <v>0</v>
      </c>
      <c r="E129">
        <v>83</v>
      </c>
      <c r="F129">
        <v>0</v>
      </c>
      <c r="G129">
        <v>83</v>
      </c>
      <c r="H129" s="2">
        <v>4.599316</v>
      </c>
      <c r="I129" s="2">
        <v>-74.166004999999998</v>
      </c>
      <c r="J129">
        <v>18</v>
      </c>
    </row>
    <row r="130" spans="1:10" x14ac:dyDescent="0.25">
      <c r="A130">
        <v>126</v>
      </c>
      <c r="B130">
        <v>129</v>
      </c>
      <c r="C130">
        <v>7194831183</v>
      </c>
      <c r="D130">
        <v>26</v>
      </c>
      <c r="E130">
        <v>58</v>
      </c>
      <c r="F130">
        <v>0</v>
      </c>
      <c r="G130">
        <v>84</v>
      </c>
      <c r="H130" s="2">
        <v>4.7172710000000002</v>
      </c>
      <c r="I130" s="2">
        <v>-74.046529000000007</v>
      </c>
      <c r="J130">
        <v>0</v>
      </c>
    </row>
    <row r="131" spans="1:10" x14ac:dyDescent="0.25">
      <c r="A131">
        <v>2</v>
      </c>
      <c r="B131">
        <v>130</v>
      </c>
      <c r="C131">
        <v>7194840436</v>
      </c>
      <c r="D131">
        <v>6</v>
      </c>
      <c r="E131">
        <v>79</v>
      </c>
      <c r="F131">
        <v>0</v>
      </c>
      <c r="G131">
        <v>85</v>
      </c>
      <c r="H131" s="2">
        <v>4.5765349999999998</v>
      </c>
      <c r="I131" s="2">
        <v>-74.091116</v>
      </c>
      <c r="J131">
        <v>20</v>
      </c>
    </row>
    <row r="132" spans="1:10" x14ac:dyDescent="0.25">
      <c r="A132">
        <v>54</v>
      </c>
      <c r="B132">
        <v>131</v>
      </c>
      <c r="C132">
        <v>7194847518</v>
      </c>
      <c r="D132">
        <v>53</v>
      </c>
      <c r="E132">
        <v>32</v>
      </c>
      <c r="F132">
        <v>0</v>
      </c>
      <c r="G132">
        <v>85</v>
      </c>
      <c r="H132" s="2">
        <v>4.6528479999999997</v>
      </c>
      <c r="I132" s="2">
        <v>-74.101584000000003</v>
      </c>
      <c r="J132">
        <v>0</v>
      </c>
    </row>
    <row r="133" spans="1:10" x14ac:dyDescent="0.25">
      <c r="A133">
        <v>84</v>
      </c>
      <c r="B133">
        <v>132</v>
      </c>
      <c r="C133">
        <v>7194831562</v>
      </c>
      <c r="D133">
        <v>26</v>
      </c>
      <c r="E133">
        <v>59</v>
      </c>
      <c r="F133">
        <v>0</v>
      </c>
      <c r="G133">
        <v>85</v>
      </c>
      <c r="H133" s="2">
        <v>4.6798380000000002</v>
      </c>
      <c r="I133" s="2">
        <v>-74.064344000000006</v>
      </c>
      <c r="J133">
        <v>0</v>
      </c>
    </row>
    <row r="134" spans="1:10" x14ac:dyDescent="0.25">
      <c r="A134">
        <v>15</v>
      </c>
      <c r="B134">
        <v>133</v>
      </c>
      <c r="C134">
        <v>7194869164</v>
      </c>
      <c r="D134">
        <v>14</v>
      </c>
      <c r="E134">
        <v>72</v>
      </c>
      <c r="F134">
        <v>0</v>
      </c>
      <c r="G134">
        <v>86</v>
      </c>
      <c r="H134" s="2">
        <v>4.6149940000000003</v>
      </c>
      <c r="I134" s="2">
        <v>-74.069455000000005</v>
      </c>
      <c r="J134">
        <v>20</v>
      </c>
    </row>
    <row r="135" spans="1:10" x14ac:dyDescent="0.25">
      <c r="A135">
        <v>38</v>
      </c>
      <c r="B135">
        <v>134</v>
      </c>
      <c r="C135">
        <v>7194816142</v>
      </c>
      <c r="D135">
        <v>59</v>
      </c>
      <c r="E135">
        <v>28</v>
      </c>
      <c r="F135">
        <v>0</v>
      </c>
      <c r="G135">
        <v>87</v>
      </c>
      <c r="H135" s="2">
        <v>4.6366180000000004</v>
      </c>
      <c r="I135" s="2">
        <v>-74.065062999999995</v>
      </c>
      <c r="J135">
        <v>0</v>
      </c>
    </row>
    <row r="136" spans="1:10" x14ac:dyDescent="0.25">
      <c r="A136">
        <v>39</v>
      </c>
      <c r="B136">
        <v>135</v>
      </c>
      <c r="C136">
        <v>7194869095</v>
      </c>
      <c r="D136">
        <v>17</v>
      </c>
      <c r="E136">
        <v>71</v>
      </c>
      <c r="F136">
        <v>0</v>
      </c>
      <c r="G136">
        <v>88</v>
      </c>
      <c r="H136" s="2">
        <v>4.6385800000000001</v>
      </c>
      <c r="I136" s="2">
        <v>-74.119645000000006</v>
      </c>
      <c r="J136">
        <v>0</v>
      </c>
    </row>
    <row r="137" spans="1:10" x14ac:dyDescent="0.25">
      <c r="A137">
        <v>163</v>
      </c>
      <c r="B137">
        <v>136</v>
      </c>
      <c r="C137">
        <v>7194863214</v>
      </c>
      <c r="D137">
        <v>19</v>
      </c>
      <c r="E137">
        <v>9</v>
      </c>
      <c r="F137">
        <v>60</v>
      </c>
      <c r="G137">
        <v>88</v>
      </c>
      <c r="H137" s="2">
        <v>4.8022340000000003</v>
      </c>
      <c r="I137" s="2">
        <v>-74.044822999999994</v>
      </c>
      <c r="J137">
        <v>0</v>
      </c>
    </row>
    <row r="138" spans="1:10" x14ac:dyDescent="0.25">
      <c r="A138">
        <v>18</v>
      </c>
      <c r="B138">
        <v>137</v>
      </c>
      <c r="C138">
        <v>7194864228</v>
      </c>
      <c r="D138">
        <v>89</v>
      </c>
      <c r="E138">
        <v>0</v>
      </c>
      <c r="F138">
        <v>0</v>
      </c>
      <c r="G138">
        <v>89</v>
      </c>
      <c r="H138" s="2">
        <v>4.6192159999999998</v>
      </c>
      <c r="I138" s="2">
        <v>-74.138248000000004</v>
      </c>
      <c r="J138">
        <v>20</v>
      </c>
    </row>
    <row r="139" spans="1:10" x14ac:dyDescent="0.25">
      <c r="A139">
        <v>103</v>
      </c>
      <c r="B139">
        <v>138</v>
      </c>
      <c r="C139">
        <v>7194859808</v>
      </c>
      <c r="D139">
        <v>52</v>
      </c>
      <c r="E139">
        <v>28</v>
      </c>
      <c r="F139">
        <v>9</v>
      </c>
      <c r="G139">
        <v>89</v>
      </c>
      <c r="H139" s="2">
        <v>4.696326</v>
      </c>
      <c r="I139" s="2">
        <v>-74.143739999999994</v>
      </c>
      <c r="J139">
        <v>0</v>
      </c>
    </row>
    <row r="140" spans="1:10" x14ac:dyDescent="0.25">
      <c r="A140">
        <v>214</v>
      </c>
      <c r="B140">
        <v>139</v>
      </c>
      <c r="C140">
        <v>7194831213</v>
      </c>
      <c r="D140">
        <v>0</v>
      </c>
      <c r="E140">
        <v>84</v>
      </c>
      <c r="F140">
        <v>6</v>
      </c>
      <c r="G140">
        <v>90</v>
      </c>
      <c r="H140" s="2">
        <v>4.6886400000000004</v>
      </c>
      <c r="I140" s="2">
        <v>-74.048338000000001</v>
      </c>
      <c r="J140">
        <v>0</v>
      </c>
    </row>
    <row r="141" spans="1:10" x14ac:dyDescent="0.25">
      <c r="A141">
        <v>191</v>
      </c>
      <c r="B141">
        <v>140</v>
      </c>
      <c r="C141">
        <v>7194867276</v>
      </c>
      <c r="D141">
        <v>0</v>
      </c>
      <c r="E141">
        <v>96</v>
      </c>
      <c r="F141">
        <v>0</v>
      </c>
      <c r="G141">
        <v>96</v>
      </c>
      <c r="H141" s="2">
        <v>4.6367029999999998</v>
      </c>
      <c r="I141" s="2">
        <v>-74.115410999999995</v>
      </c>
      <c r="J141">
        <v>0</v>
      </c>
    </row>
    <row r="142" spans="1:10" x14ac:dyDescent="0.25">
      <c r="A142">
        <v>60</v>
      </c>
      <c r="B142">
        <v>141</v>
      </c>
      <c r="C142">
        <v>7194850044</v>
      </c>
      <c r="D142">
        <v>65</v>
      </c>
      <c r="E142">
        <v>32</v>
      </c>
      <c r="F142">
        <v>0</v>
      </c>
      <c r="G142">
        <v>97</v>
      </c>
      <c r="H142" s="2">
        <v>4.6570819999999999</v>
      </c>
      <c r="I142" s="2">
        <v>-74.056055999999998</v>
      </c>
      <c r="J142">
        <v>20</v>
      </c>
    </row>
    <row r="143" spans="1:10" x14ac:dyDescent="0.25">
      <c r="A143">
        <v>56</v>
      </c>
      <c r="B143">
        <v>142</v>
      </c>
      <c r="C143">
        <v>7194864883</v>
      </c>
      <c r="D143">
        <v>100</v>
      </c>
      <c r="E143">
        <v>0</v>
      </c>
      <c r="F143">
        <v>0</v>
      </c>
      <c r="G143">
        <v>100</v>
      </c>
      <c r="H143" s="2">
        <v>4.6545730000000001</v>
      </c>
      <c r="I143" s="2">
        <v>-74.077443000000002</v>
      </c>
      <c r="J143">
        <v>13</v>
      </c>
    </row>
    <row r="144" spans="1:10" x14ac:dyDescent="0.25">
      <c r="A144">
        <v>142</v>
      </c>
      <c r="B144">
        <v>143</v>
      </c>
      <c r="C144">
        <v>7194859993</v>
      </c>
      <c r="D144">
        <v>33</v>
      </c>
      <c r="E144">
        <v>68</v>
      </c>
      <c r="F144">
        <v>0</v>
      </c>
      <c r="G144">
        <v>101</v>
      </c>
      <c r="H144" s="2">
        <v>4.739725</v>
      </c>
      <c r="I144" s="2">
        <v>-74.239041</v>
      </c>
      <c r="J144">
        <v>8</v>
      </c>
    </row>
    <row r="145" spans="1:10" x14ac:dyDescent="0.25">
      <c r="A145">
        <v>158</v>
      </c>
      <c r="B145">
        <v>144</v>
      </c>
      <c r="C145">
        <v>7194865180</v>
      </c>
      <c r="D145">
        <v>102</v>
      </c>
      <c r="E145">
        <v>0</v>
      </c>
      <c r="F145">
        <v>0</v>
      </c>
      <c r="G145">
        <v>102</v>
      </c>
      <c r="H145" s="2">
        <v>4.7928990000000002</v>
      </c>
      <c r="I145" s="2">
        <v>-74.076076999999998</v>
      </c>
      <c r="J145">
        <v>0</v>
      </c>
    </row>
    <row r="146" spans="1:10" x14ac:dyDescent="0.25">
      <c r="A146">
        <v>190</v>
      </c>
      <c r="B146">
        <v>145</v>
      </c>
      <c r="C146">
        <v>7194822354</v>
      </c>
      <c r="D146">
        <v>0</v>
      </c>
      <c r="E146">
        <v>102</v>
      </c>
      <c r="F146">
        <v>0</v>
      </c>
      <c r="G146">
        <v>102</v>
      </c>
      <c r="H146" s="2">
        <v>4.6354689999999996</v>
      </c>
      <c r="I146" s="2">
        <v>-74.118594999999999</v>
      </c>
      <c r="J146">
        <v>21</v>
      </c>
    </row>
    <row r="147" spans="1:10" x14ac:dyDescent="0.25">
      <c r="A147">
        <v>227</v>
      </c>
      <c r="B147">
        <v>146</v>
      </c>
      <c r="C147">
        <v>7194841036</v>
      </c>
      <c r="D147">
        <v>0</v>
      </c>
      <c r="E147">
        <v>103</v>
      </c>
      <c r="F147">
        <v>0</v>
      </c>
      <c r="G147">
        <v>103</v>
      </c>
      <c r="H147" s="2">
        <v>4.7227079999999999</v>
      </c>
      <c r="I147" s="2">
        <v>-74.195496000000006</v>
      </c>
      <c r="J147">
        <v>0</v>
      </c>
    </row>
    <row r="148" spans="1:10" x14ac:dyDescent="0.25">
      <c r="A148">
        <v>237</v>
      </c>
      <c r="B148">
        <v>147</v>
      </c>
      <c r="C148">
        <v>7194831426</v>
      </c>
      <c r="D148">
        <v>0</v>
      </c>
      <c r="E148">
        <v>103</v>
      </c>
      <c r="F148">
        <v>0</v>
      </c>
      <c r="G148">
        <v>103</v>
      </c>
      <c r="H148" s="2">
        <v>4.7573309999999998</v>
      </c>
      <c r="I148" s="2">
        <v>-74.137720999999999</v>
      </c>
      <c r="J148">
        <v>0</v>
      </c>
    </row>
    <row r="149" spans="1:10" x14ac:dyDescent="0.25">
      <c r="A149">
        <v>102</v>
      </c>
      <c r="B149">
        <v>148</v>
      </c>
      <c r="C149">
        <v>7194867028</v>
      </c>
      <c r="D149">
        <v>25</v>
      </c>
      <c r="E149">
        <v>79</v>
      </c>
      <c r="F149">
        <v>0</v>
      </c>
      <c r="G149">
        <v>104</v>
      </c>
      <c r="H149" s="2">
        <v>4.696072</v>
      </c>
      <c r="I149" s="2">
        <v>-74.142893999999998</v>
      </c>
      <c r="J149">
        <v>11</v>
      </c>
    </row>
    <row r="150" spans="1:10" x14ac:dyDescent="0.25">
      <c r="A150">
        <v>165</v>
      </c>
      <c r="B150">
        <v>149</v>
      </c>
      <c r="C150">
        <v>7194862998</v>
      </c>
      <c r="D150">
        <v>105</v>
      </c>
      <c r="E150">
        <v>0</v>
      </c>
      <c r="F150">
        <v>0</v>
      </c>
      <c r="G150">
        <v>105</v>
      </c>
      <c r="H150" s="2">
        <v>4.807976</v>
      </c>
      <c r="I150" s="2">
        <v>-74.069312999999994</v>
      </c>
      <c r="J150">
        <v>10</v>
      </c>
    </row>
    <row r="151" spans="1:10" x14ac:dyDescent="0.25">
      <c r="A151">
        <v>55</v>
      </c>
      <c r="B151">
        <v>150</v>
      </c>
      <c r="C151">
        <v>7194858461</v>
      </c>
      <c r="D151">
        <v>29</v>
      </c>
      <c r="E151">
        <v>71</v>
      </c>
      <c r="F151">
        <v>9</v>
      </c>
      <c r="G151">
        <v>109</v>
      </c>
      <c r="H151" s="2">
        <v>4.6540350000000004</v>
      </c>
      <c r="I151" s="2">
        <v>-74.043012000000004</v>
      </c>
      <c r="J151">
        <v>0</v>
      </c>
    </row>
    <row r="152" spans="1:10" x14ac:dyDescent="0.25">
      <c r="A152">
        <v>49</v>
      </c>
      <c r="B152">
        <v>151</v>
      </c>
      <c r="C152">
        <v>7194826177</v>
      </c>
      <c r="D152">
        <v>25</v>
      </c>
      <c r="E152">
        <v>88</v>
      </c>
      <c r="F152">
        <v>0</v>
      </c>
      <c r="G152">
        <v>113</v>
      </c>
      <c r="H152" s="2">
        <v>4.6502090000000003</v>
      </c>
      <c r="I152" s="2">
        <v>-74.122673000000006</v>
      </c>
      <c r="J152">
        <v>0</v>
      </c>
    </row>
    <row r="153" spans="1:10" x14ac:dyDescent="0.25">
      <c r="A153">
        <v>209</v>
      </c>
      <c r="B153">
        <v>152</v>
      </c>
      <c r="C153">
        <v>7194860268</v>
      </c>
      <c r="D153">
        <v>0</v>
      </c>
      <c r="E153">
        <v>114</v>
      </c>
      <c r="F153">
        <v>0</v>
      </c>
      <c r="G153">
        <v>114</v>
      </c>
      <c r="H153" s="2">
        <v>4.6697329999999999</v>
      </c>
      <c r="I153" s="2">
        <v>-74.056324000000004</v>
      </c>
      <c r="J153">
        <v>21</v>
      </c>
    </row>
    <row r="154" spans="1:10" x14ac:dyDescent="0.25">
      <c r="A154">
        <v>92</v>
      </c>
      <c r="B154">
        <v>153</v>
      </c>
      <c r="C154">
        <v>7194860895</v>
      </c>
      <c r="D154">
        <v>16</v>
      </c>
      <c r="E154">
        <v>99</v>
      </c>
      <c r="F154">
        <v>0</v>
      </c>
      <c r="G154">
        <v>115</v>
      </c>
      <c r="H154" s="2">
        <v>4.6895699999999998</v>
      </c>
      <c r="I154" s="2">
        <v>-74.130313000000001</v>
      </c>
      <c r="J154">
        <v>0</v>
      </c>
    </row>
    <row r="155" spans="1:10" x14ac:dyDescent="0.25">
      <c r="A155">
        <v>77</v>
      </c>
      <c r="B155">
        <v>154</v>
      </c>
      <c r="C155">
        <v>7194869486</v>
      </c>
      <c r="D155">
        <v>22</v>
      </c>
      <c r="E155">
        <v>78</v>
      </c>
      <c r="F155">
        <v>18</v>
      </c>
      <c r="G155">
        <v>118</v>
      </c>
      <c r="H155" s="2">
        <v>4.6712829999999999</v>
      </c>
      <c r="I155" s="2">
        <v>-74.081180000000003</v>
      </c>
      <c r="J155">
        <v>0</v>
      </c>
    </row>
    <row r="156" spans="1:10" x14ac:dyDescent="0.25">
      <c r="A156">
        <v>161</v>
      </c>
      <c r="B156">
        <v>155</v>
      </c>
      <c r="C156">
        <v>7194869635</v>
      </c>
      <c r="D156">
        <v>2</v>
      </c>
      <c r="E156">
        <v>112</v>
      </c>
      <c r="F156">
        <v>5</v>
      </c>
      <c r="G156">
        <v>119</v>
      </c>
      <c r="H156" s="2">
        <v>4.7961859999999996</v>
      </c>
      <c r="I156" s="2">
        <v>-74.190698999999995</v>
      </c>
      <c r="J156">
        <v>21</v>
      </c>
    </row>
    <row r="157" spans="1:10" x14ac:dyDescent="0.25">
      <c r="A157">
        <v>140</v>
      </c>
      <c r="B157">
        <v>156</v>
      </c>
      <c r="C157">
        <v>7194839636</v>
      </c>
      <c r="D157">
        <v>7</v>
      </c>
      <c r="E157">
        <v>119</v>
      </c>
      <c r="F157">
        <v>0</v>
      </c>
      <c r="G157">
        <v>126</v>
      </c>
      <c r="H157" s="2">
        <v>4.7387600000000001</v>
      </c>
      <c r="I157" s="2">
        <v>-74.137321</v>
      </c>
      <c r="J157">
        <v>0</v>
      </c>
    </row>
    <row r="158" spans="1:10" x14ac:dyDescent="0.25">
      <c r="A158">
        <v>4</v>
      </c>
      <c r="B158">
        <v>157</v>
      </c>
      <c r="C158">
        <v>7194818312</v>
      </c>
      <c r="D158">
        <v>78</v>
      </c>
      <c r="E158">
        <v>37</v>
      </c>
      <c r="F158">
        <v>12</v>
      </c>
      <c r="G158">
        <v>127</v>
      </c>
      <c r="H158" s="2">
        <v>4.5831359999999997</v>
      </c>
      <c r="I158" s="2">
        <v>-74.105939000000006</v>
      </c>
      <c r="J158">
        <v>0</v>
      </c>
    </row>
    <row r="159" spans="1:10" x14ac:dyDescent="0.25">
      <c r="A159">
        <v>196</v>
      </c>
      <c r="B159">
        <v>158</v>
      </c>
      <c r="C159">
        <v>7194838136</v>
      </c>
      <c r="D159">
        <v>0</v>
      </c>
      <c r="E159">
        <v>132</v>
      </c>
      <c r="F159">
        <v>0</v>
      </c>
      <c r="G159">
        <v>132</v>
      </c>
      <c r="H159" s="2">
        <v>4.6515959999999996</v>
      </c>
      <c r="I159" s="2">
        <v>-74.106772000000007</v>
      </c>
      <c r="J159">
        <v>0</v>
      </c>
    </row>
    <row r="160" spans="1:10" x14ac:dyDescent="0.25">
      <c r="A160">
        <v>108</v>
      </c>
      <c r="B160">
        <v>159</v>
      </c>
      <c r="C160">
        <v>7194870209</v>
      </c>
      <c r="D160">
        <v>110</v>
      </c>
      <c r="E160">
        <v>24</v>
      </c>
      <c r="F160">
        <v>0</v>
      </c>
      <c r="G160">
        <v>134</v>
      </c>
      <c r="H160" s="2">
        <v>4.6978030000000004</v>
      </c>
      <c r="I160" s="2">
        <v>-74.038591999999994</v>
      </c>
      <c r="J160">
        <v>21</v>
      </c>
    </row>
    <row r="161" spans="1:10" x14ac:dyDescent="0.25">
      <c r="A161">
        <v>98</v>
      </c>
      <c r="B161">
        <v>160</v>
      </c>
      <c r="C161">
        <v>7194866138</v>
      </c>
      <c r="D161">
        <v>107</v>
      </c>
      <c r="E161">
        <v>30</v>
      </c>
      <c r="F161">
        <v>0</v>
      </c>
      <c r="G161">
        <v>137</v>
      </c>
      <c r="H161" s="2">
        <v>4.6934019999999999</v>
      </c>
      <c r="I161" s="2">
        <v>-74.034571</v>
      </c>
      <c r="J161">
        <v>0</v>
      </c>
    </row>
    <row r="162" spans="1:10" x14ac:dyDescent="0.25">
      <c r="A162">
        <v>119</v>
      </c>
      <c r="B162">
        <v>161</v>
      </c>
      <c r="C162">
        <v>7194838083</v>
      </c>
      <c r="D162">
        <v>17</v>
      </c>
      <c r="E162">
        <v>120</v>
      </c>
      <c r="F162">
        <v>2</v>
      </c>
      <c r="G162">
        <v>139</v>
      </c>
      <c r="H162" s="2">
        <v>4.7063329999999999</v>
      </c>
      <c r="I162" s="2">
        <v>-74.050922999999997</v>
      </c>
      <c r="J162">
        <v>22</v>
      </c>
    </row>
    <row r="163" spans="1:10" x14ac:dyDescent="0.25">
      <c r="A163">
        <v>152</v>
      </c>
      <c r="B163">
        <v>162</v>
      </c>
      <c r="C163">
        <v>7194825918</v>
      </c>
      <c r="D163">
        <v>24</v>
      </c>
      <c r="E163">
        <v>76</v>
      </c>
      <c r="F163">
        <v>39</v>
      </c>
      <c r="G163">
        <v>139</v>
      </c>
      <c r="H163" s="2">
        <v>4.7682669999999998</v>
      </c>
      <c r="I163" s="2">
        <v>-74.145319000000001</v>
      </c>
      <c r="J163">
        <v>0</v>
      </c>
    </row>
    <row r="164" spans="1:10" x14ac:dyDescent="0.25">
      <c r="A164">
        <v>155</v>
      </c>
      <c r="B164">
        <v>163</v>
      </c>
      <c r="C164">
        <v>7194821466</v>
      </c>
      <c r="D164">
        <v>103</v>
      </c>
      <c r="E164">
        <v>39</v>
      </c>
      <c r="F164">
        <v>0</v>
      </c>
      <c r="G164">
        <v>142</v>
      </c>
      <c r="H164" s="2">
        <v>4.7778539999999996</v>
      </c>
      <c r="I164" s="2">
        <v>-74.182815000000005</v>
      </c>
      <c r="J164">
        <v>24</v>
      </c>
    </row>
    <row r="165" spans="1:10" x14ac:dyDescent="0.25">
      <c r="A165">
        <v>94</v>
      </c>
      <c r="B165">
        <v>164</v>
      </c>
      <c r="C165">
        <v>7194850518</v>
      </c>
      <c r="D165">
        <v>82</v>
      </c>
      <c r="E165">
        <v>62</v>
      </c>
      <c r="F165">
        <v>0</v>
      </c>
      <c r="G165">
        <v>144</v>
      </c>
      <c r="H165" s="2">
        <v>4.690849</v>
      </c>
      <c r="I165" s="2">
        <v>-74.148673000000002</v>
      </c>
      <c r="J165">
        <v>0</v>
      </c>
    </row>
    <row r="166" spans="1:10" x14ac:dyDescent="0.25">
      <c r="A166">
        <v>178</v>
      </c>
      <c r="B166">
        <v>165</v>
      </c>
      <c r="C166">
        <v>7194855908</v>
      </c>
      <c r="D166">
        <v>0</v>
      </c>
      <c r="E166">
        <v>144</v>
      </c>
      <c r="F166">
        <v>0</v>
      </c>
      <c r="G166">
        <v>144</v>
      </c>
      <c r="H166" s="2">
        <v>4.5996969999999999</v>
      </c>
      <c r="I166" s="2">
        <v>-74.123440000000002</v>
      </c>
      <c r="J166">
        <v>0</v>
      </c>
    </row>
    <row r="167" spans="1:10" x14ac:dyDescent="0.25">
      <c r="A167">
        <v>241</v>
      </c>
      <c r="B167">
        <v>166</v>
      </c>
      <c r="C167">
        <v>7194842188</v>
      </c>
      <c r="D167">
        <v>0</v>
      </c>
      <c r="E167">
        <v>145</v>
      </c>
      <c r="F167">
        <v>0</v>
      </c>
      <c r="G167">
        <v>145</v>
      </c>
      <c r="H167" s="2">
        <v>4.764716</v>
      </c>
      <c r="I167" s="2">
        <v>-74.178808000000004</v>
      </c>
      <c r="J167">
        <v>4</v>
      </c>
    </row>
    <row r="168" spans="1:10" x14ac:dyDescent="0.25">
      <c r="A168">
        <v>167</v>
      </c>
      <c r="B168">
        <v>167</v>
      </c>
      <c r="C168">
        <v>7194824245</v>
      </c>
      <c r="D168">
        <v>2</v>
      </c>
      <c r="E168">
        <v>145</v>
      </c>
      <c r="F168">
        <v>0</v>
      </c>
      <c r="G168">
        <v>147</v>
      </c>
      <c r="H168" s="2">
        <v>4.8659999999999997</v>
      </c>
      <c r="I168" s="2">
        <v>-73.955799999999996</v>
      </c>
      <c r="J168">
        <v>20</v>
      </c>
    </row>
    <row r="169" spans="1:10" x14ac:dyDescent="0.25">
      <c r="A169">
        <v>210</v>
      </c>
      <c r="B169">
        <v>168</v>
      </c>
      <c r="C169">
        <v>7194869925</v>
      </c>
      <c r="D169">
        <v>0</v>
      </c>
      <c r="E169">
        <v>148</v>
      </c>
      <c r="F169">
        <v>0</v>
      </c>
      <c r="G169">
        <v>148</v>
      </c>
      <c r="H169" s="2">
        <v>4.6703450000000002</v>
      </c>
      <c r="I169" s="2">
        <v>-74.084894000000006</v>
      </c>
      <c r="J169">
        <v>0</v>
      </c>
    </row>
    <row r="170" spans="1:10" x14ac:dyDescent="0.25">
      <c r="A170">
        <v>86</v>
      </c>
      <c r="B170">
        <v>169</v>
      </c>
      <c r="C170">
        <v>7194839241</v>
      </c>
      <c r="D170">
        <v>2</v>
      </c>
      <c r="E170">
        <v>148</v>
      </c>
      <c r="F170">
        <v>0</v>
      </c>
      <c r="G170">
        <v>150</v>
      </c>
      <c r="H170" s="2">
        <v>4.6825570000000001</v>
      </c>
      <c r="I170" s="2">
        <v>-74.134210999999993</v>
      </c>
      <c r="J170">
        <v>24</v>
      </c>
    </row>
    <row r="171" spans="1:10" x14ac:dyDescent="0.25">
      <c r="A171">
        <v>172</v>
      </c>
      <c r="B171">
        <v>170</v>
      </c>
      <c r="C171">
        <v>7194819453</v>
      </c>
      <c r="D171">
        <v>0</v>
      </c>
      <c r="E171">
        <v>151</v>
      </c>
      <c r="F171">
        <v>0</v>
      </c>
      <c r="G171">
        <v>151</v>
      </c>
      <c r="H171" s="2">
        <v>4.5577030000000001</v>
      </c>
      <c r="I171" s="2">
        <v>-74.234187000000006</v>
      </c>
      <c r="J171">
        <v>0</v>
      </c>
    </row>
    <row r="172" spans="1:10" x14ac:dyDescent="0.25">
      <c r="A172">
        <v>194</v>
      </c>
      <c r="B172">
        <v>171</v>
      </c>
      <c r="C172">
        <v>7194867305</v>
      </c>
      <c r="D172">
        <v>0</v>
      </c>
      <c r="E172">
        <v>155</v>
      </c>
      <c r="F172">
        <v>0</v>
      </c>
      <c r="G172">
        <v>155</v>
      </c>
      <c r="H172" s="2">
        <v>4.6451510000000003</v>
      </c>
      <c r="I172" s="2">
        <v>-74.099777000000003</v>
      </c>
      <c r="J172">
        <v>0</v>
      </c>
    </row>
    <row r="173" spans="1:10" x14ac:dyDescent="0.25">
      <c r="A173">
        <v>8</v>
      </c>
      <c r="B173">
        <v>172</v>
      </c>
      <c r="C173">
        <v>7194867817</v>
      </c>
      <c r="D173">
        <v>6</v>
      </c>
      <c r="E173">
        <v>150</v>
      </c>
      <c r="F173">
        <v>0</v>
      </c>
      <c r="G173">
        <v>156</v>
      </c>
      <c r="H173" s="2">
        <v>4.599297</v>
      </c>
      <c r="I173" s="2">
        <v>-74.142263</v>
      </c>
      <c r="J173">
        <v>0</v>
      </c>
    </row>
    <row r="174" spans="1:10" x14ac:dyDescent="0.25">
      <c r="A174">
        <v>169</v>
      </c>
      <c r="B174">
        <v>173</v>
      </c>
      <c r="C174">
        <v>7194867930</v>
      </c>
      <c r="D174">
        <v>102</v>
      </c>
      <c r="E174">
        <v>54</v>
      </c>
      <c r="F174">
        <v>0</v>
      </c>
      <c r="G174">
        <v>156</v>
      </c>
      <c r="H174" s="2">
        <v>4.8871969999999996</v>
      </c>
      <c r="I174" s="2">
        <v>-73.963700000000003</v>
      </c>
      <c r="J174">
        <v>0</v>
      </c>
    </row>
    <row r="175" spans="1:10" x14ac:dyDescent="0.25">
      <c r="A175">
        <v>3</v>
      </c>
      <c r="B175">
        <v>174</v>
      </c>
      <c r="C175">
        <v>7194866739</v>
      </c>
      <c r="D175">
        <v>3</v>
      </c>
      <c r="E175">
        <v>158</v>
      </c>
      <c r="F175">
        <v>0</v>
      </c>
      <c r="G175">
        <v>161</v>
      </c>
      <c r="H175" s="2">
        <v>4.5795170000000001</v>
      </c>
      <c r="I175" s="2">
        <v>-74.125364000000005</v>
      </c>
      <c r="J175">
        <v>24</v>
      </c>
    </row>
    <row r="176" spans="1:10" x14ac:dyDescent="0.25">
      <c r="A176">
        <v>28</v>
      </c>
      <c r="B176">
        <v>175</v>
      </c>
      <c r="C176">
        <v>7194862671</v>
      </c>
      <c r="D176">
        <v>16</v>
      </c>
      <c r="E176">
        <v>145</v>
      </c>
      <c r="F176">
        <v>10</v>
      </c>
      <c r="G176">
        <v>171</v>
      </c>
      <c r="H176" s="2">
        <v>4.6292799999999996</v>
      </c>
      <c r="I176" s="2">
        <v>-74.105988999999994</v>
      </c>
      <c r="J176">
        <v>25</v>
      </c>
    </row>
    <row r="177" spans="1:10" x14ac:dyDescent="0.25">
      <c r="A177">
        <v>37</v>
      </c>
      <c r="B177">
        <v>176</v>
      </c>
      <c r="C177">
        <v>7194802793</v>
      </c>
      <c r="D177">
        <v>1</v>
      </c>
      <c r="E177">
        <v>170</v>
      </c>
      <c r="F177">
        <v>0</v>
      </c>
      <c r="G177">
        <v>171</v>
      </c>
      <c r="H177" s="2">
        <v>4.6333570000000002</v>
      </c>
      <c r="I177" s="2">
        <v>-74.117958999999999</v>
      </c>
      <c r="J177">
        <v>0</v>
      </c>
    </row>
    <row r="178" spans="1:10" x14ac:dyDescent="0.25">
      <c r="A178">
        <v>30</v>
      </c>
      <c r="B178">
        <v>177</v>
      </c>
      <c r="C178">
        <v>7194867418</v>
      </c>
      <c r="D178">
        <v>195</v>
      </c>
      <c r="E178">
        <v>0</v>
      </c>
      <c r="F178">
        <v>0</v>
      </c>
      <c r="G178">
        <v>195</v>
      </c>
      <c r="H178" s="2">
        <v>4.6301019999999999</v>
      </c>
      <c r="I178" s="2">
        <v>-74.081688999999997</v>
      </c>
      <c r="J178">
        <v>0</v>
      </c>
    </row>
    <row r="179" spans="1:10" x14ac:dyDescent="0.25">
      <c r="A179">
        <v>107</v>
      </c>
      <c r="B179">
        <v>178</v>
      </c>
      <c r="C179">
        <v>7194867044</v>
      </c>
      <c r="D179">
        <v>1</v>
      </c>
      <c r="E179">
        <v>198</v>
      </c>
      <c r="F179">
        <v>0</v>
      </c>
      <c r="G179">
        <v>199</v>
      </c>
      <c r="H179" s="2">
        <v>4.6975939999999996</v>
      </c>
      <c r="I179" s="2">
        <v>-74.139038999999997</v>
      </c>
      <c r="J179">
        <v>1</v>
      </c>
    </row>
    <row r="180" spans="1:10" x14ac:dyDescent="0.25">
      <c r="A180">
        <v>224</v>
      </c>
      <c r="B180">
        <v>179</v>
      </c>
      <c r="C180">
        <v>7194865020</v>
      </c>
      <c r="D180">
        <v>0</v>
      </c>
      <c r="E180">
        <v>201</v>
      </c>
      <c r="F180">
        <v>0</v>
      </c>
      <c r="G180">
        <v>201</v>
      </c>
      <c r="H180" s="2">
        <v>4.7117649999999998</v>
      </c>
      <c r="I180" s="2">
        <v>-74.054941999999997</v>
      </c>
      <c r="J180">
        <v>0</v>
      </c>
    </row>
    <row r="181" spans="1:10" x14ac:dyDescent="0.25">
      <c r="A181">
        <v>36</v>
      </c>
      <c r="B181">
        <v>180</v>
      </c>
      <c r="C181">
        <v>7194862665</v>
      </c>
      <c r="D181">
        <v>35</v>
      </c>
      <c r="E181">
        <v>168</v>
      </c>
      <c r="F181">
        <v>0</v>
      </c>
      <c r="G181">
        <v>203</v>
      </c>
      <c r="H181" s="2">
        <v>4.6331030000000002</v>
      </c>
      <c r="I181" s="2">
        <v>-74.156147000000004</v>
      </c>
      <c r="J181">
        <v>24</v>
      </c>
    </row>
    <row r="182" spans="1:10" x14ac:dyDescent="0.25">
      <c r="A182">
        <v>154</v>
      </c>
      <c r="B182">
        <v>181</v>
      </c>
      <c r="C182">
        <v>7194865820</v>
      </c>
      <c r="D182">
        <v>69</v>
      </c>
      <c r="E182">
        <v>172</v>
      </c>
      <c r="F182">
        <v>0</v>
      </c>
      <c r="G182">
        <v>241</v>
      </c>
      <c r="H182" s="2">
        <v>4.7753509999999997</v>
      </c>
      <c r="I182" s="2">
        <v>-74.14049</v>
      </c>
      <c r="J182">
        <v>0</v>
      </c>
    </row>
    <row r="183" spans="1:10" x14ac:dyDescent="0.25">
      <c r="A183">
        <v>73</v>
      </c>
      <c r="B183">
        <v>182</v>
      </c>
      <c r="C183">
        <v>7194830323</v>
      </c>
      <c r="D183">
        <v>61</v>
      </c>
      <c r="E183">
        <v>181</v>
      </c>
      <c r="F183">
        <v>0</v>
      </c>
      <c r="G183">
        <v>242</v>
      </c>
      <c r="H183" s="2">
        <v>4.6688489999999998</v>
      </c>
      <c r="I183" s="2">
        <v>-74.056647999999996</v>
      </c>
      <c r="J183">
        <v>25</v>
      </c>
    </row>
    <row r="184" spans="1:10" x14ac:dyDescent="0.25">
      <c r="A184">
        <v>120</v>
      </c>
      <c r="B184">
        <v>183</v>
      </c>
      <c r="C184">
        <v>7194838368</v>
      </c>
      <c r="D184">
        <v>55</v>
      </c>
      <c r="E184">
        <v>191</v>
      </c>
      <c r="F184">
        <v>0</v>
      </c>
      <c r="G184">
        <v>246</v>
      </c>
      <c r="H184" s="2">
        <v>4.7064570000000003</v>
      </c>
      <c r="I184" s="2">
        <v>-74.051321999999999</v>
      </c>
      <c r="J184">
        <v>0</v>
      </c>
    </row>
    <row r="185" spans="1:10" x14ac:dyDescent="0.25">
      <c r="A185">
        <v>185</v>
      </c>
      <c r="B185">
        <v>184</v>
      </c>
      <c r="C185">
        <v>7194868763</v>
      </c>
      <c r="D185">
        <v>0</v>
      </c>
      <c r="E185">
        <v>246</v>
      </c>
      <c r="F185">
        <v>0</v>
      </c>
      <c r="G185">
        <v>246</v>
      </c>
      <c r="H185" s="2">
        <v>4.6235540000000004</v>
      </c>
      <c r="I185" s="2">
        <v>-74.098647</v>
      </c>
      <c r="J185">
        <v>6</v>
      </c>
    </row>
    <row r="186" spans="1:10" x14ac:dyDescent="0.25">
      <c r="A186">
        <v>212</v>
      </c>
      <c r="B186">
        <v>185</v>
      </c>
      <c r="C186">
        <v>7194843286</v>
      </c>
      <c r="D186">
        <v>0</v>
      </c>
      <c r="E186">
        <v>250</v>
      </c>
      <c r="F186">
        <v>0</v>
      </c>
      <c r="G186">
        <v>250</v>
      </c>
      <c r="H186" s="2">
        <v>4.6763450000000004</v>
      </c>
      <c r="I186" s="2">
        <v>-74.061701999999997</v>
      </c>
      <c r="J186">
        <v>6</v>
      </c>
    </row>
    <row r="187" spans="1:10" x14ac:dyDescent="0.25">
      <c r="A187">
        <v>112</v>
      </c>
      <c r="B187">
        <v>186</v>
      </c>
      <c r="C187">
        <v>7194865133</v>
      </c>
      <c r="D187">
        <v>184</v>
      </c>
      <c r="E187">
        <v>67</v>
      </c>
      <c r="F187">
        <v>0</v>
      </c>
      <c r="G187">
        <v>251</v>
      </c>
      <c r="H187" s="2">
        <v>4.7021290000000002</v>
      </c>
      <c r="I187" s="2">
        <v>-74.082421999999994</v>
      </c>
      <c r="J187">
        <v>14</v>
      </c>
    </row>
    <row r="188" spans="1:10" x14ac:dyDescent="0.25">
      <c r="A188">
        <v>253</v>
      </c>
      <c r="B188">
        <v>187</v>
      </c>
      <c r="C188">
        <v>7194804424</v>
      </c>
      <c r="D188">
        <v>0</v>
      </c>
      <c r="E188">
        <v>0</v>
      </c>
      <c r="F188">
        <v>258</v>
      </c>
      <c r="G188">
        <v>258</v>
      </c>
      <c r="H188" s="2">
        <v>4.689095</v>
      </c>
      <c r="I188" s="2">
        <v>-74.131162000000003</v>
      </c>
      <c r="J188">
        <v>19</v>
      </c>
    </row>
    <row r="189" spans="1:10" x14ac:dyDescent="0.25">
      <c r="A189">
        <v>25</v>
      </c>
      <c r="B189">
        <v>188</v>
      </c>
      <c r="C189">
        <v>7194860631</v>
      </c>
      <c r="D189">
        <v>145</v>
      </c>
      <c r="E189">
        <v>115</v>
      </c>
      <c r="F189">
        <v>0</v>
      </c>
      <c r="G189">
        <v>260</v>
      </c>
      <c r="H189" s="2">
        <v>4.6269130000000001</v>
      </c>
      <c r="I189" s="2">
        <v>-74.064733000000004</v>
      </c>
      <c r="J189">
        <v>0</v>
      </c>
    </row>
    <row r="190" spans="1:10" x14ac:dyDescent="0.25">
      <c r="A190">
        <v>43</v>
      </c>
      <c r="B190">
        <v>189</v>
      </c>
      <c r="C190">
        <v>7194868925</v>
      </c>
      <c r="D190">
        <v>2</v>
      </c>
      <c r="E190">
        <v>271</v>
      </c>
      <c r="F190">
        <v>0</v>
      </c>
      <c r="G190">
        <v>273</v>
      </c>
      <c r="H190" s="2">
        <v>4.6410830000000001</v>
      </c>
      <c r="I190" s="2">
        <v>-74.114226000000002</v>
      </c>
      <c r="J190">
        <v>9</v>
      </c>
    </row>
    <row r="191" spans="1:10" x14ac:dyDescent="0.25">
      <c r="A191">
        <v>31</v>
      </c>
      <c r="B191">
        <v>190</v>
      </c>
      <c r="C191">
        <v>7194865698</v>
      </c>
      <c r="D191">
        <v>16</v>
      </c>
      <c r="E191">
        <v>269</v>
      </c>
      <c r="F191">
        <v>0</v>
      </c>
      <c r="G191">
        <v>285</v>
      </c>
      <c r="H191" s="2">
        <v>4.6304800000000004</v>
      </c>
      <c r="I191" s="2">
        <v>-74.092879999999994</v>
      </c>
      <c r="J191">
        <v>0</v>
      </c>
    </row>
    <row r="192" spans="1:10" x14ac:dyDescent="0.25">
      <c r="A192">
        <v>70</v>
      </c>
      <c r="B192">
        <v>191</v>
      </c>
      <c r="C192">
        <v>7194865583</v>
      </c>
      <c r="D192">
        <v>39</v>
      </c>
      <c r="E192">
        <v>246</v>
      </c>
      <c r="F192">
        <v>0</v>
      </c>
      <c r="G192">
        <v>285</v>
      </c>
      <c r="H192" s="2">
        <v>4.6646330000000003</v>
      </c>
      <c r="I192" s="2">
        <v>-74.078505000000007</v>
      </c>
      <c r="J192">
        <v>28</v>
      </c>
    </row>
    <row r="193" spans="1:10" x14ac:dyDescent="0.25">
      <c r="A193">
        <v>200</v>
      </c>
      <c r="B193">
        <v>192</v>
      </c>
      <c r="C193">
        <v>7194819013</v>
      </c>
      <c r="D193">
        <v>0</v>
      </c>
      <c r="E193">
        <v>300</v>
      </c>
      <c r="F193">
        <v>0</v>
      </c>
      <c r="G193">
        <v>300</v>
      </c>
      <c r="H193" s="2">
        <v>4.659249</v>
      </c>
      <c r="I193" s="2">
        <v>-74.075361999999998</v>
      </c>
      <c r="J193">
        <v>0</v>
      </c>
    </row>
    <row r="194" spans="1:10" x14ac:dyDescent="0.25">
      <c r="A194">
        <v>45</v>
      </c>
      <c r="B194">
        <v>193</v>
      </c>
      <c r="C194">
        <v>7194867551</v>
      </c>
      <c r="D194">
        <v>305</v>
      </c>
      <c r="E194">
        <v>0</v>
      </c>
      <c r="F194">
        <v>0</v>
      </c>
      <c r="G194">
        <v>305</v>
      </c>
      <c r="H194" s="2">
        <v>4.6451510000000003</v>
      </c>
      <c r="I194" s="2">
        <v>-74.099777000000003</v>
      </c>
      <c r="J194">
        <v>3</v>
      </c>
    </row>
    <row r="195" spans="1:10" x14ac:dyDescent="0.25">
      <c r="A195">
        <v>83</v>
      </c>
      <c r="B195">
        <v>194</v>
      </c>
      <c r="C195">
        <v>7194837268</v>
      </c>
      <c r="D195">
        <v>35</v>
      </c>
      <c r="E195">
        <v>272</v>
      </c>
      <c r="F195">
        <v>0</v>
      </c>
      <c r="G195">
        <v>307</v>
      </c>
      <c r="H195" s="2">
        <v>4.678858</v>
      </c>
      <c r="I195" s="2">
        <v>-74.127341999999999</v>
      </c>
      <c r="J195">
        <v>26</v>
      </c>
    </row>
    <row r="196" spans="1:10" x14ac:dyDescent="0.25">
      <c r="A196">
        <v>145</v>
      </c>
      <c r="B196">
        <v>195</v>
      </c>
      <c r="C196">
        <v>7194868164</v>
      </c>
      <c r="D196">
        <v>33</v>
      </c>
      <c r="E196">
        <v>274</v>
      </c>
      <c r="F196">
        <v>0</v>
      </c>
      <c r="G196">
        <v>307</v>
      </c>
      <c r="H196" s="2">
        <v>4.7471449999999997</v>
      </c>
      <c r="I196" s="2">
        <v>-74.036225999999999</v>
      </c>
      <c r="J196">
        <v>0</v>
      </c>
    </row>
    <row r="197" spans="1:10" x14ac:dyDescent="0.25">
      <c r="A197">
        <v>223</v>
      </c>
      <c r="B197">
        <v>196</v>
      </c>
      <c r="C197">
        <v>7194859757</v>
      </c>
      <c r="D197">
        <v>0</v>
      </c>
      <c r="E197">
        <v>312</v>
      </c>
      <c r="F197">
        <v>0</v>
      </c>
      <c r="G197">
        <v>312</v>
      </c>
      <c r="H197" s="2">
        <v>4.7113240000000003</v>
      </c>
      <c r="I197" s="2">
        <v>-74.032477</v>
      </c>
      <c r="J197">
        <v>0</v>
      </c>
    </row>
    <row r="198" spans="1:10" x14ac:dyDescent="0.25">
      <c r="A198">
        <v>230</v>
      </c>
      <c r="B198">
        <v>197</v>
      </c>
      <c r="C198">
        <v>7194837873</v>
      </c>
      <c r="D198">
        <v>0</v>
      </c>
      <c r="E198">
        <v>316</v>
      </c>
      <c r="F198">
        <v>0</v>
      </c>
      <c r="G198">
        <v>316</v>
      </c>
      <c r="H198" s="2">
        <v>4.7357110000000002</v>
      </c>
      <c r="I198" s="2">
        <v>-74.270556999999997</v>
      </c>
      <c r="J198">
        <v>29</v>
      </c>
    </row>
    <row r="199" spans="1:10" x14ac:dyDescent="0.25">
      <c r="A199">
        <v>133</v>
      </c>
      <c r="B199">
        <v>198</v>
      </c>
      <c r="C199">
        <v>7194863853</v>
      </c>
      <c r="D199">
        <v>22</v>
      </c>
      <c r="E199">
        <v>280</v>
      </c>
      <c r="F199">
        <v>15</v>
      </c>
      <c r="G199">
        <v>317</v>
      </c>
      <c r="H199" s="2">
        <v>4.7324999999999999</v>
      </c>
      <c r="I199" s="2">
        <v>-74.065488000000002</v>
      </c>
      <c r="J199">
        <v>0</v>
      </c>
    </row>
    <row r="200" spans="1:10" x14ac:dyDescent="0.25">
      <c r="A200">
        <v>180</v>
      </c>
      <c r="B200">
        <v>199</v>
      </c>
      <c r="C200">
        <v>7194865816</v>
      </c>
      <c r="D200">
        <v>0</v>
      </c>
      <c r="E200">
        <v>328</v>
      </c>
      <c r="F200">
        <v>0</v>
      </c>
      <c r="G200">
        <v>328</v>
      </c>
      <c r="H200" s="2">
        <v>4.6037100000000004</v>
      </c>
      <c r="I200" s="2">
        <v>-74.086907999999994</v>
      </c>
      <c r="J200">
        <v>0</v>
      </c>
    </row>
    <row r="201" spans="1:10" x14ac:dyDescent="0.25">
      <c r="A201">
        <v>23</v>
      </c>
      <c r="B201">
        <v>200</v>
      </c>
      <c r="C201">
        <v>7194841659</v>
      </c>
      <c r="D201">
        <v>17</v>
      </c>
      <c r="E201">
        <v>324</v>
      </c>
      <c r="F201">
        <v>0</v>
      </c>
      <c r="G201">
        <v>341</v>
      </c>
      <c r="H201" s="2">
        <v>4.6263579999999997</v>
      </c>
      <c r="I201" s="2">
        <v>-74.102267999999995</v>
      </c>
      <c r="J201">
        <v>29</v>
      </c>
    </row>
    <row r="202" spans="1:10" x14ac:dyDescent="0.25">
      <c r="A202">
        <v>162</v>
      </c>
      <c r="B202">
        <v>201</v>
      </c>
      <c r="C202">
        <v>7194866333</v>
      </c>
      <c r="D202">
        <v>6</v>
      </c>
      <c r="E202">
        <v>383</v>
      </c>
      <c r="F202">
        <v>20</v>
      </c>
      <c r="G202">
        <v>409</v>
      </c>
      <c r="H202" s="2">
        <v>4.7967040000000001</v>
      </c>
      <c r="I202" s="2">
        <v>-74.210752999999997</v>
      </c>
      <c r="J202">
        <v>0</v>
      </c>
    </row>
    <row r="203" spans="1:10" x14ac:dyDescent="0.25">
      <c r="A203">
        <v>225</v>
      </c>
      <c r="B203">
        <v>202</v>
      </c>
      <c r="C203">
        <v>7194867802</v>
      </c>
      <c r="D203">
        <v>0</v>
      </c>
      <c r="E203">
        <v>462</v>
      </c>
      <c r="F203">
        <v>0</v>
      </c>
      <c r="G203">
        <v>462</v>
      </c>
      <c r="H203" s="2">
        <v>4.7152190000000003</v>
      </c>
      <c r="I203" s="2">
        <v>-74.216830000000002</v>
      </c>
      <c r="J203">
        <v>0</v>
      </c>
    </row>
    <row r="204" spans="1:10" x14ac:dyDescent="0.25">
      <c r="A204">
        <v>109</v>
      </c>
      <c r="B204">
        <v>203</v>
      </c>
      <c r="C204">
        <v>7194836905</v>
      </c>
      <c r="D204">
        <v>67</v>
      </c>
      <c r="E204">
        <v>433</v>
      </c>
      <c r="F204">
        <v>0</v>
      </c>
      <c r="G204">
        <v>500</v>
      </c>
      <c r="H204" s="2">
        <v>4.6984589999999997</v>
      </c>
      <c r="I204" s="2">
        <v>-74.072867000000002</v>
      </c>
      <c r="J204">
        <v>30</v>
      </c>
    </row>
    <row r="205" spans="1:10" x14ac:dyDescent="0.25">
      <c r="A205">
        <v>242</v>
      </c>
      <c r="B205">
        <v>204</v>
      </c>
      <c r="C205">
        <v>7194855736</v>
      </c>
      <c r="D205">
        <v>0</v>
      </c>
      <c r="E205">
        <v>500</v>
      </c>
      <c r="F205">
        <v>0</v>
      </c>
      <c r="G205">
        <v>500</v>
      </c>
      <c r="H205" s="2">
        <v>4.7671979999999996</v>
      </c>
      <c r="I205" s="2">
        <v>-74.184166000000005</v>
      </c>
      <c r="J205">
        <v>0</v>
      </c>
    </row>
    <row r="206" spans="1:10" x14ac:dyDescent="0.25">
      <c r="A206">
        <v>90</v>
      </c>
      <c r="B206">
        <v>205</v>
      </c>
      <c r="C206">
        <v>7194697019</v>
      </c>
      <c r="D206">
        <v>549</v>
      </c>
      <c r="E206">
        <v>0</v>
      </c>
      <c r="F206">
        <v>0</v>
      </c>
      <c r="G206">
        <v>549</v>
      </c>
      <c r="H206" s="2">
        <v>4.689095</v>
      </c>
      <c r="I206" s="2">
        <v>-74.131162000000003</v>
      </c>
      <c r="J206">
        <v>28</v>
      </c>
    </row>
    <row r="207" spans="1:10" x14ac:dyDescent="0.25">
      <c r="A207">
        <v>48</v>
      </c>
      <c r="B207">
        <v>206</v>
      </c>
      <c r="C207">
        <v>7194838571</v>
      </c>
      <c r="D207">
        <v>118</v>
      </c>
      <c r="E207">
        <v>440</v>
      </c>
      <c r="F207">
        <v>0</v>
      </c>
      <c r="G207">
        <v>558</v>
      </c>
      <c r="H207" s="2">
        <v>4.6471479999999996</v>
      </c>
      <c r="I207" s="2">
        <v>-74.105746999999994</v>
      </c>
      <c r="J207">
        <v>0</v>
      </c>
    </row>
    <row r="208" spans="1:10" x14ac:dyDescent="0.25">
      <c r="A208">
        <v>221</v>
      </c>
      <c r="B208">
        <v>207</v>
      </c>
      <c r="C208">
        <v>7194840368</v>
      </c>
      <c r="D208">
        <v>0</v>
      </c>
      <c r="E208">
        <v>586</v>
      </c>
      <c r="F208">
        <v>0</v>
      </c>
      <c r="G208">
        <v>586</v>
      </c>
      <c r="H208" s="2">
        <v>4.7049609999999999</v>
      </c>
      <c r="I208" s="2">
        <v>-74.043599999999998</v>
      </c>
      <c r="J208">
        <v>3</v>
      </c>
    </row>
    <row r="209" spans="1:10" x14ac:dyDescent="0.25">
      <c r="A209">
        <v>24</v>
      </c>
      <c r="B209">
        <v>208</v>
      </c>
      <c r="C209">
        <v>7194865812</v>
      </c>
      <c r="D209">
        <v>88</v>
      </c>
      <c r="E209">
        <v>545</v>
      </c>
      <c r="F209">
        <v>0</v>
      </c>
      <c r="G209">
        <v>633</v>
      </c>
      <c r="H209" s="2">
        <v>4.626544</v>
      </c>
      <c r="I209" s="2">
        <v>-74.104303000000002</v>
      </c>
      <c r="J209">
        <v>16</v>
      </c>
    </row>
    <row r="210" spans="1:10" x14ac:dyDescent="0.25">
      <c r="A210">
        <v>216</v>
      </c>
      <c r="B210">
        <v>209</v>
      </c>
      <c r="C210">
        <v>7194806195</v>
      </c>
      <c r="D210">
        <v>0</v>
      </c>
      <c r="E210">
        <v>695</v>
      </c>
      <c r="F210">
        <v>0</v>
      </c>
      <c r="G210">
        <v>695</v>
      </c>
      <c r="H210" s="2">
        <v>4.689095</v>
      </c>
      <c r="I210" s="2">
        <v>-74.131162000000003</v>
      </c>
      <c r="J210">
        <v>17</v>
      </c>
    </row>
    <row r="211" spans="1:10" x14ac:dyDescent="0.25">
      <c r="A211">
        <v>174</v>
      </c>
      <c r="B211">
        <v>210</v>
      </c>
      <c r="C211">
        <v>7194859769</v>
      </c>
      <c r="D211">
        <v>0</v>
      </c>
      <c r="E211">
        <v>754</v>
      </c>
      <c r="F211">
        <v>0</v>
      </c>
      <c r="G211">
        <v>754</v>
      </c>
      <c r="H211" s="2">
        <v>4.5855189999999997</v>
      </c>
      <c r="I211" s="2">
        <v>-74.125551000000002</v>
      </c>
      <c r="J211">
        <v>0</v>
      </c>
    </row>
    <row r="212" spans="1:10" x14ac:dyDescent="0.25">
      <c r="A212">
        <v>82</v>
      </c>
      <c r="B212">
        <v>211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 s="2">
        <v>4.6772159999999996</v>
      </c>
      <c r="I212" s="2">
        <v>-74.137641000000002</v>
      </c>
      <c r="J212">
        <v>0</v>
      </c>
    </row>
    <row r="213" spans="1:10" x14ac:dyDescent="0.25">
      <c r="G213">
        <f>SUM(G2:G212)</f>
        <v>23192</v>
      </c>
      <c r="J213">
        <v>34</v>
      </c>
    </row>
    <row r="214" spans="1:10" x14ac:dyDescent="0.25">
      <c r="J214">
        <v>0</v>
      </c>
    </row>
    <row r="215" spans="1:10" x14ac:dyDescent="0.25">
      <c r="J215">
        <v>0</v>
      </c>
    </row>
    <row r="216" spans="1:10" x14ac:dyDescent="0.25">
      <c r="J216">
        <v>34</v>
      </c>
    </row>
    <row r="217" spans="1:10" x14ac:dyDescent="0.25">
      <c r="J217">
        <v>0</v>
      </c>
    </row>
    <row r="218" spans="1:10" x14ac:dyDescent="0.25">
      <c r="J218">
        <v>20</v>
      </c>
    </row>
    <row r="219" spans="1:10" x14ac:dyDescent="0.25">
      <c r="J219">
        <v>16</v>
      </c>
    </row>
    <row r="220" spans="1:10" x14ac:dyDescent="0.25">
      <c r="J220">
        <v>0</v>
      </c>
    </row>
    <row r="221" spans="1:10" x14ac:dyDescent="0.25">
      <c r="J221">
        <v>12</v>
      </c>
    </row>
    <row r="222" spans="1:10" x14ac:dyDescent="0.25">
      <c r="J222">
        <v>24</v>
      </c>
    </row>
    <row r="223" spans="1:10" x14ac:dyDescent="0.25">
      <c r="J223">
        <v>0</v>
      </c>
    </row>
    <row r="224" spans="1:10" x14ac:dyDescent="0.25">
      <c r="J224">
        <v>0</v>
      </c>
    </row>
    <row r="225" spans="10:10" x14ac:dyDescent="0.25">
      <c r="J225">
        <v>36</v>
      </c>
    </row>
    <row r="226" spans="10:10" x14ac:dyDescent="0.25">
      <c r="J226">
        <v>0</v>
      </c>
    </row>
    <row r="227" spans="10:10" x14ac:dyDescent="0.25">
      <c r="J227">
        <v>26</v>
      </c>
    </row>
    <row r="228" spans="10:10" x14ac:dyDescent="0.25">
      <c r="J228">
        <v>11</v>
      </c>
    </row>
    <row r="229" spans="10:10" x14ac:dyDescent="0.25">
      <c r="J229">
        <v>0</v>
      </c>
    </row>
    <row r="230" spans="10:10" x14ac:dyDescent="0.25">
      <c r="J230">
        <v>0</v>
      </c>
    </row>
    <row r="231" spans="10:10" x14ac:dyDescent="0.25">
      <c r="J231">
        <v>37</v>
      </c>
    </row>
    <row r="232" spans="10:10" x14ac:dyDescent="0.25">
      <c r="J232">
        <v>0</v>
      </c>
    </row>
    <row r="233" spans="10:10" x14ac:dyDescent="0.25">
      <c r="J233">
        <v>8</v>
      </c>
    </row>
    <row r="234" spans="10:10" x14ac:dyDescent="0.25">
      <c r="J234">
        <v>30</v>
      </c>
    </row>
    <row r="235" spans="10:10" x14ac:dyDescent="0.25">
      <c r="J235">
        <v>0</v>
      </c>
    </row>
    <row r="236" spans="10:10" x14ac:dyDescent="0.25">
      <c r="J236">
        <v>0</v>
      </c>
    </row>
    <row r="237" spans="10:10" x14ac:dyDescent="0.25">
      <c r="J237">
        <v>37</v>
      </c>
    </row>
    <row r="238" spans="10:10" x14ac:dyDescent="0.25">
      <c r="J238">
        <v>2</v>
      </c>
    </row>
    <row r="239" spans="10:10" x14ac:dyDescent="0.25">
      <c r="J239">
        <v>3</v>
      </c>
    </row>
    <row r="240" spans="10:10" x14ac:dyDescent="0.25">
      <c r="J240">
        <v>37</v>
      </c>
    </row>
    <row r="241" spans="10:10" x14ac:dyDescent="0.25">
      <c r="J241">
        <v>0</v>
      </c>
    </row>
    <row r="242" spans="10:10" x14ac:dyDescent="0.25">
      <c r="J242">
        <v>0</v>
      </c>
    </row>
    <row r="243" spans="10:10" x14ac:dyDescent="0.25">
      <c r="J243">
        <v>40</v>
      </c>
    </row>
    <row r="244" spans="10:10" x14ac:dyDescent="0.25">
      <c r="J244">
        <v>0</v>
      </c>
    </row>
    <row r="245" spans="10:10" x14ac:dyDescent="0.25">
      <c r="J245">
        <v>29</v>
      </c>
    </row>
    <row r="246" spans="10:10" x14ac:dyDescent="0.25">
      <c r="J246">
        <v>0</v>
      </c>
    </row>
    <row r="247" spans="10:10" x14ac:dyDescent="0.25">
      <c r="J247">
        <v>13</v>
      </c>
    </row>
    <row r="248" spans="10:10" x14ac:dyDescent="0.25">
      <c r="J248">
        <v>20</v>
      </c>
    </row>
    <row r="249" spans="10:10" x14ac:dyDescent="0.25">
      <c r="J249">
        <v>3</v>
      </c>
    </row>
    <row r="250" spans="10:10" x14ac:dyDescent="0.25">
      <c r="J250">
        <v>20</v>
      </c>
    </row>
    <row r="251" spans="10:10" x14ac:dyDescent="0.25">
      <c r="J251">
        <v>43</v>
      </c>
    </row>
    <row r="252" spans="10:10" x14ac:dyDescent="0.25">
      <c r="J252">
        <v>0</v>
      </c>
    </row>
    <row r="253" spans="10:10" x14ac:dyDescent="0.25">
      <c r="J253">
        <v>0</v>
      </c>
    </row>
    <row r="254" spans="10:10" x14ac:dyDescent="0.25">
      <c r="J254">
        <v>0</v>
      </c>
    </row>
    <row r="255" spans="10:10" x14ac:dyDescent="0.25">
      <c r="J255">
        <v>43</v>
      </c>
    </row>
    <row r="256" spans="10:10" x14ac:dyDescent="0.25">
      <c r="J256">
        <v>0</v>
      </c>
    </row>
    <row r="257" spans="10:10" x14ac:dyDescent="0.25">
      <c r="J257">
        <v>38</v>
      </c>
    </row>
    <row r="258" spans="10:10" x14ac:dyDescent="0.25">
      <c r="J258">
        <v>6</v>
      </c>
    </row>
    <row r="259" spans="10:10" x14ac:dyDescent="0.25">
      <c r="J259">
        <v>0</v>
      </c>
    </row>
    <row r="260" spans="10:10" x14ac:dyDescent="0.25">
      <c r="J260">
        <v>5</v>
      </c>
    </row>
    <row r="261" spans="10:10" x14ac:dyDescent="0.25">
      <c r="J261">
        <v>39</v>
      </c>
    </row>
    <row r="262" spans="10:10" x14ac:dyDescent="0.25">
      <c r="J262">
        <v>0</v>
      </c>
    </row>
    <row r="263" spans="10:10" x14ac:dyDescent="0.25">
      <c r="J263">
        <v>6</v>
      </c>
    </row>
    <row r="264" spans="10:10" x14ac:dyDescent="0.25">
      <c r="J264">
        <v>38</v>
      </c>
    </row>
    <row r="265" spans="10:10" x14ac:dyDescent="0.25">
      <c r="J265">
        <v>0</v>
      </c>
    </row>
    <row r="266" spans="10:10" x14ac:dyDescent="0.25">
      <c r="J266">
        <v>32</v>
      </c>
    </row>
    <row r="267" spans="10:10" x14ac:dyDescent="0.25">
      <c r="J267">
        <v>0</v>
      </c>
    </row>
    <row r="268" spans="10:10" x14ac:dyDescent="0.25">
      <c r="J268">
        <v>12</v>
      </c>
    </row>
    <row r="269" spans="10:10" x14ac:dyDescent="0.25">
      <c r="J269">
        <v>0</v>
      </c>
    </row>
    <row r="270" spans="10:10" x14ac:dyDescent="0.25">
      <c r="J270">
        <v>46</v>
      </c>
    </row>
    <row r="271" spans="10:10" x14ac:dyDescent="0.25">
      <c r="J271">
        <v>0</v>
      </c>
    </row>
    <row r="272" spans="10:10" x14ac:dyDescent="0.25">
      <c r="J272">
        <v>21</v>
      </c>
    </row>
    <row r="273" spans="10:10" x14ac:dyDescent="0.25">
      <c r="J273">
        <v>12</v>
      </c>
    </row>
    <row r="274" spans="10:10" x14ac:dyDescent="0.25">
      <c r="J274">
        <v>14</v>
      </c>
    </row>
    <row r="275" spans="10:10" x14ac:dyDescent="0.25">
      <c r="J275">
        <v>0</v>
      </c>
    </row>
    <row r="276" spans="10:10" x14ac:dyDescent="0.25">
      <c r="J276">
        <v>48</v>
      </c>
    </row>
    <row r="277" spans="10:10" x14ac:dyDescent="0.25">
      <c r="J277">
        <v>0</v>
      </c>
    </row>
    <row r="278" spans="10:10" x14ac:dyDescent="0.25">
      <c r="J278">
        <v>23</v>
      </c>
    </row>
    <row r="279" spans="10:10" x14ac:dyDescent="0.25">
      <c r="J279">
        <v>26</v>
      </c>
    </row>
    <row r="280" spans="10:10" x14ac:dyDescent="0.25">
      <c r="J280">
        <v>0</v>
      </c>
    </row>
    <row r="281" spans="10:10" x14ac:dyDescent="0.25">
      <c r="J281">
        <v>0</v>
      </c>
    </row>
    <row r="282" spans="10:10" x14ac:dyDescent="0.25">
      <c r="J282">
        <v>49</v>
      </c>
    </row>
    <row r="283" spans="10:10" x14ac:dyDescent="0.25">
      <c r="J283">
        <v>0</v>
      </c>
    </row>
    <row r="284" spans="10:10" x14ac:dyDescent="0.25">
      <c r="J284">
        <v>40</v>
      </c>
    </row>
    <row r="285" spans="10:10" x14ac:dyDescent="0.25">
      <c r="J285">
        <v>10</v>
      </c>
    </row>
    <row r="286" spans="10:10" x14ac:dyDescent="0.25">
      <c r="J286">
        <v>0</v>
      </c>
    </row>
    <row r="287" spans="10:10" x14ac:dyDescent="0.25">
      <c r="J287">
        <v>20</v>
      </c>
    </row>
    <row r="288" spans="10:10" x14ac:dyDescent="0.25">
      <c r="J288">
        <v>30</v>
      </c>
    </row>
    <row r="289" spans="10:10" x14ac:dyDescent="0.25">
      <c r="J289">
        <v>0</v>
      </c>
    </row>
    <row r="290" spans="10:10" x14ac:dyDescent="0.25">
      <c r="J290">
        <v>50</v>
      </c>
    </row>
    <row r="291" spans="10:10" x14ac:dyDescent="0.25">
      <c r="J291">
        <v>0</v>
      </c>
    </row>
    <row r="292" spans="10:10" x14ac:dyDescent="0.25">
      <c r="J292">
        <v>0</v>
      </c>
    </row>
    <row r="293" spans="10:10" x14ac:dyDescent="0.25">
      <c r="J293">
        <v>30</v>
      </c>
    </row>
    <row r="294" spans="10:10" x14ac:dyDescent="0.25">
      <c r="J294">
        <v>21</v>
      </c>
    </row>
    <row r="295" spans="10:10" x14ac:dyDescent="0.25">
      <c r="J295">
        <v>0</v>
      </c>
    </row>
    <row r="296" spans="10:10" x14ac:dyDescent="0.25">
      <c r="J296">
        <v>6</v>
      </c>
    </row>
    <row r="297" spans="10:10" x14ac:dyDescent="0.25">
      <c r="J297">
        <v>45</v>
      </c>
    </row>
    <row r="298" spans="10:10" x14ac:dyDescent="0.25">
      <c r="J298">
        <v>0</v>
      </c>
    </row>
    <row r="299" spans="10:10" x14ac:dyDescent="0.25">
      <c r="J299">
        <v>0</v>
      </c>
    </row>
    <row r="300" spans="10:10" x14ac:dyDescent="0.25">
      <c r="J300">
        <v>51</v>
      </c>
    </row>
    <row r="301" spans="10:10" x14ac:dyDescent="0.25">
      <c r="J301">
        <v>0</v>
      </c>
    </row>
    <row r="302" spans="10:10" x14ac:dyDescent="0.25">
      <c r="J302">
        <v>3</v>
      </c>
    </row>
    <row r="303" spans="10:10" x14ac:dyDescent="0.25">
      <c r="J303">
        <v>0</v>
      </c>
    </row>
    <row r="304" spans="10:10" x14ac:dyDescent="0.25">
      <c r="J304">
        <v>50</v>
      </c>
    </row>
    <row r="305" spans="10:10" x14ac:dyDescent="0.25">
      <c r="J305">
        <v>33</v>
      </c>
    </row>
    <row r="306" spans="10:10" x14ac:dyDescent="0.25">
      <c r="J306">
        <v>11</v>
      </c>
    </row>
    <row r="307" spans="10:10" x14ac:dyDescent="0.25">
      <c r="J307">
        <v>10</v>
      </c>
    </row>
    <row r="308" spans="10:10" x14ac:dyDescent="0.25">
      <c r="J308">
        <v>0</v>
      </c>
    </row>
    <row r="309" spans="10:10" x14ac:dyDescent="0.25">
      <c r="J309">
        <v>54</v>
      </c>
    </row>
    <row r="310" spans="10:10" x14ac:dyDescent="0.25">
      <c r="J310">
        <v>0</v>
      </c>
    </row>
    <row r="311" spans="10:10" x14ac:dyDescent="0.25">
      <c r="J311">
        <v>0</v>
      </c>
    </row>
    <row r="312" spans="10:10" x14ac:dyDescent="0.25">
      <c r="J312">
        <v>0</v>
      </c>
    </row>
    <row r="313" spans="10:10" x14ac:dyDescent="0.25">
      <c r="J313">
        <v>54</v>
      </c>
    </row>
    <row r="314" spans="10:10" x14ac:dyDescent="0.25">
      <c r="J314">
        <v>8</v>
      </c>
    </row>
    <row r="315" spans="10:10" x14ac:dyDescent="0.25">
      <c r="J315">
        <v>47</v>
      </c>
    </row>
    <row r="316" spans="10:10" x14ac:dyDescent="0.25">
      <c r="J316">
        <v>0</v>
      </c>
    </row>
    <row r="317" spans="10:10" x14ac:dyDescent="0.25">
      <c r="J317">
        <v>37</v>
      </c>
    </row>
    <row r="318" spans="10:10" x14ac:dyDescent="0.25">
      <c r="J318">
        <v>20</v>
      </c>
    </row>
    <row r="319" spans="10:10" x14ac:dyDescent="0.25">
      <c r="J319">
        <v>0</v>
      </c>
    </row>
    <row r="320" spans="10:10" x14ac:dyDescent="0.25">
      <c r="J320">
        <v>36</v>
      </c>
    </row>
    <row r="321" spans="10:10" x14ac:dyDescent="0.25">
      <c r="J321">
        <v>22</v>
      </c>
    </row>
    <row r="322" spans="10:10" x14ac:dyDescent="0.25">
      <c r="J322">
        <v>0</v>
      </c>
    </row>
    <row r="323" spans="10:10" x14ac:dyDescent="0.25">
      <c r="J323">
        <v>26</v>
      </c>
    </row>
    <row r="324" spans="10:10" x14ac:dyDescent="0.25">
      <c r="J324">
        <v>32</v>
      </c>
    </row>
    <row r="325" spans="10:10" x14ac:dyDescent="0.25">
      <c r="J325">
        <v>0</v>
      </c>
    </row>
    <row r="326" spans="10:10" x14ac:dyDescent="0.25">
      <c r="J326">
        <v>1</v>
      </c>
    </row>
    <row r="327" spans="10:10" x14ac:dyDescent="0.25">
      <c r="J327">
        <v>59</v>
      </c>
    </row>
    <row r="328" spans="10:10" x14ac:dyDescent="0.25">
      <c r="J328">
        <v>0</v>
      </c>
    </row>
    <row r="329" spans="10:10" x14ac:dyDescent="0.25">
      <c r="J329">
        <v>20</v>
      </c>
    </row>
    <row r="330" spans="10:10" x14ac:dyDescent="0.25">
      <c r="J330">
        <v>40</v>
      </c>
    </row>
    <row r="331" spans="10:10" x14ac:dyDescent="0.25">
      <c r="J331">
        <v>0</v>
      </c>
    </row>
    <row r="332" spans="10:10" x14ac:dyDescent="0.25">
      <c r="J332">
        <v>24</v>
      </c>
    </row>
    <row r="333" spans="10:10" x14ac:dyDescent="0.25">
      <c r="J333">
        <v>27</v>
      </c>
    </row>
    <row r="334" spans="10:10" x14ac:dyDescent="0.25">
      <c r="J334">
        <v>9</v>
      </c>
    </row>
    <row r="335" spans="10:10" x14ac:dyDescent="0.25">
      <c r="J335">
        <v>20</v>
      </c>
    </row>
    <row r="336" spans="10:10" x14ac:dyDescent="0.25">
      <c r="J336">
        <v>42</v>
      </c>
    </row>
    <row r="337" spans="10:10" x14ac:dyDescent="0.25">
      <c r="J337">
        <v>0</v>
      </c>
    </row>
    <row r="338" spans="10:10" x14ac:dyDescent="0.25">
      <c r="J338">
        <v>0</v>
      </c>
    </row>
    <row r="339" spans="10:10" x14ac:dyDescent="0.25">
      <c r="J339">
        <v>62</v>
      </c>
    </row>
    <row r="340" spans="10:10" x14ac:dyDescent="0.25">
      <c r="J340">
        <v>0</v>
      </c>
    </row>
    <row r="341" spans="10:10" x14ac:dyDescent="0.25">
      <c r="J341">
        <v>41</v>
      </c>
    </row>
    <row r="342" spans="10:10" x14ac:dyDescent="0.25">
      <c r="J342">
        <v>23</v>
      </c>
    </row>
    <row r="343" spans="10:10" x14ac:dyDescent="0.25">
      <c r="J343">
        <v>0</v>
      </c>
    </row>
    <row r="344" spans="10:10" x14ac:dyDescent="0.25">
      <c r="J344">
        <v>15</v>
      </c>
    </row>
    <row r="345" spans="10:10" x14ac:dyDescent="0.25">
      <c r="J345">
        <v>50</v>
      </c>
    </row>
    <row r="346" spans="10:10" x14ac:dyDescent="0.25">
      <c r="J346">
        <v>0</v>
      </c>
    </row>
    <row r="347" spans="10:10" x14ac:dyDescent="0.25">
      <c r="J347">
        <v>0</v>
      </c>
    </row>
    <row r="348" spans="10:10" x14ac:dyDescent="0.25">
      <c r="J348">
        <v>57</v>
      </c>
    </row>
    <row r="349" spans="10:10" x14ac:dyDescent="0.25">
      <c r="J349">
        <v>9</v>
      </c>
    </row>
    <row r="350" spans="10:10" x14ac:dyDescent="0.25">
      <c r="J350">
        <v>0</v>
      </c>
    </row>
    <row r="351" spans="10:10" x14ac:dyDescent="0.25">
      <c r="J351">
        <v>66</v>
      </c>
    </row>
    <row r="352" spans="10:10" x14ac:dyDescent="0.25">
      <c r="J352">
        <v>0</v>
      </c>
    </row>
    <row r="353" spans="10:10" x14ac:dyDescent="0.25">
      <c r="J353">
        <v>4</v>
      </c>
    </row>
    <row r="354" spans="10:10" x14ac:dyDescent="0.25">
      <c r="J354">
        <v>63</v>
      </c>
    </row>
    <row r="355" spans="10:10" x14ac:dyDescent="0.25">
      <c r="J355">
        <v>0</v>
      </c>
    </row>
    <row r="356" spans="10:10" x14ac:dyDescent="0.25">
      <c r="J356">
        <v>63</v>
      </c>
    </row>
    <row r="357" spans="10:10" x14ac:dyDescent="0.25">
      <c r="J357">
        <v>5</v>
      </c>
    </row>
    <row r="358" spans="10:10" x14ac:dyDescent="0.25">
      <c r="J358">
        <v>0</v>
      </c>
    </row>
    <row r="359" spans="10:10" x14ac:dyDescent="0.25">
      <c r="J359">
        <v>69</v>
      </c>
    </row>
    <row r="360" spans="10:10" x14ac:dyDescent="0.25">
      <c r="J360">
        <v>0</v>
      </c>
    </row>
    <row r="361" spans="10:10" x14ac:dyDescent="0.25">
      <c r="J361">
        <v>0</v>
      </c>
    </row>
    <row r="362" spans="10:10" x14ac:dyDescent="0.25">
      <c r="J362">
        <v>65</v>
      </c>
    </row>
    <row r="363" spans="10:10" x14ac:dyDescent="0.25">
      <c r="J363">
        <v>11</v>
      </c>
    </row>
    <row r="364" spans="10:10" x14ac:dyDescent="0.25">
      <c r="J364">
        <v>0</v>
      </c>
    </row>
    <row r="365" spans="10:10" x14ac:dyDescent="0.25">
      <c r="J365">
        <v>42</v>
      </c>
    </row>
    <row r="366" spans="10:10" x14ac:dyDescent="0.25">
      <c r="J366">
        <v>36</v>
      </c>
    </row>
    <row r="367" spans="10:10" x14ac:dyDescent="0.25">
      <c r="J367">
        <v>0</v>
      </c>
    </row>
    <row r="368" spans="10:10" x14ac:dyDescent="0.25">
      <c r="J368">
        <v>0</v>
      </c>
    </row>
    <row r="369" spans="10:10" x14ac:dyDescent="0.25">
      <c r="J369">
        <v>79</v>
      </c>
    </row>
    <row r="370" spans="10:10" x14ac:dyDescent="0.25">
      <c r="J370">
        <v>0</v>
      </c>
    </row>
    <row r="371" spans="10:10" x14ac:dyDescent="0.25">
      <c r="J371">
        <v>30</v>
      </c>
    </row>
    <row r="372" spans="10:10" x14ac:dyDescent="0.25">
      <c r="J372">
        <v>50</v>
      </c>
    </row>
    <row r="373" spans="10:10" x14ac:dyDescent="0.25">
      <c r="J373">
        <v>0</v>
      </c>
    </row>
    <row r="374" spans="10:10" x14ac:dyDescent="0.25">
      <c r="J374">
        <v>44</v>
      </c>
    </row>
    <row r="375" spans="10:10" x14ac:dyDescent="0.25">
      <c r="J375">
        <v>36</v>
      </c>
    </row>
    <row r="376" spans="10:10" x14ac:dyDescent="0.25">
      <c r="J376">
        <v>0</v>
      </c>
    </row>
    <row r="377" spans="10:10" x14ac:dyDescent="0.25">
      <c r="J377">
        <v>80</v>
      </c>
    </row>
    <row r="378" spans="10:10" x14ac:dyDescent="0.25">
      <c r="J378">
        <v>0</v>
      </c>
    </row>
    <row r="379" spans="10:10" x14ac:dyDescent="0.25">
      <c r="J379">
        <v>0</v>
      </c>
    </row>
    <row r="380" spans="10:10" x14ac:dyDescent="0.25">
      <c r="J380">
        <v>0</v>
      </c>
    </row>
    <row r="381" spans="10:10" x14ac:dyDescent="0.25">
      <c r="J381">
        <v>81</v>
      </c>
    </row>
    <row r="382" spans="10:10" x14ac:dyDescent="0.25">
      <c r="J382">
        <v>0</v>
      </c>
    </row>
    <row r="383" spans="10:10" x14ac:dyDescent="0.25">
      <c r="J383">
        <v>0</v>
      </c>
    </row>
    <row r="384" spans="10:10" x14ac:dyDescent="0.25">
      <c r="J384">
        <v>83</v>
      </c>
    </row>
    <row r="385" spans="10:10" x14ac:dyDescent="0.25">
      <c r="J385">
        <v>0</v>
      </c>
    </row>
    <row r="386" spans="10:10" x14ac:dyDescent="0.25">
      <c r="J386">
        <v>26</v>
      </c>
    </row>
    <row r="387" spans="10:10" x14ac:dyDescent="0.25">
      <c r="J387">
        <v>58</v>
      </c>
    </row>
    <row r="388" spans="10:10" x14ac:dyDescent="0.25">
      <c r="J388">
        <v>0</v>
      </c>
    </row>
    <row r="389" spans="10:10" x14ac:dyDescent="0.25">
      <c r="J389">
        <v>6</v>
      </c>
    </row>
    <row r="390" spans="10:10" x14ac:dyDescent="0.25">
      <c r="J390">
        <v>79</v>
      </c>
    </row>
    <row r="391" spans="10:10" x14ac:dyDescent="0.25">
      <c r="J391">
        <v>0</v>
      </c>
    </row>
    <row r="392" spans="10:10" x14ac:dyDescent="0.25">
      <c r="J392">
        <v>53</v>
      </c>
    </row>
    <row r="393" spans="10:10" x14ac:dyDescent="0.25">
      <c r="J393">
        <v>32</v>
      </c>
    </row>
    <row r="394" spans="10:10" x14ac:dyDescent="0.25">
      <c r="J394">
        <v>0</v>
      </c>
    </row>
    <row r="395" spans="10:10" x14ac:dyDescent="0.25">
      <c r="J395">
        <v>26</v>
      </c>
    </row>
    <row r="396" spans="10:10" x14ac:dyDescent="0.25">
      <c r="J396">
        <v>59</v>
      </c>
    </row>
    <row r="397" spans="10:10" x14ac:dyDescent="0.25">
      <c r="J397">
        <v>0</v>
      </c>
    </row>
    <row r="398" spans="10:10" x14ac:dyDescent="0.25">
      <c r="J398">
        <v>14</v>
      </c>
    </row>
    <row r="399" spans="10:10" x14ac:dyDescent="0.25">
      <c r="J399">
        <v>72</v>
      </c>
    </row>
    <row r="400" spans="10:10" x14ac:dyDescent="0.25">
      <c r="J400">
        <v>0</v>
      </c>
    </row>
    <row r="401" spans="10:10" x14ac:dyDescent="0.25">
      <c r="J401">
        <v>59</v>
      </c>
    </row>
    <row r="402" spans="10:10" x14ac:dyDescent="0.25">
      <c r="J402">
        <v>28</v>
      </c>
    </row>
    <row r="403" spans="10:10" x14ac:dyDescent="0.25">
      <c r="J403">
        <v>0</v>
      </c>
    </row>
    <row r="404" spans="10:10" x14ac:dyDescent="0.25">
      <c r="J404">
        <v>17</v>
      </c>
    </row>
    <row r="405" spans="10:10" x14ac:dyDescent="0.25">
      <c r="J405">
        <v>71</v>
      </c>
    </row>
    <row r="406" spans="10:10" x14ac:dyDescent="0.25">
      <c r="J406">
        <v>0</v>
      </c>
    </row>
    <row r="407" spans="10:10" x14ac:dyDescent="0.25">
      <c r="J407">
        <v>19</v>
      </c>
    </row>
    <row r="408" spans="10:10" x14ac:dyDescent="0.25">
      <c r="J408">
        <v>9</v>
      </c>
    </row>
    <row r="409" spans="10:10" x14ac:dyDescent="0.25">
      <c r="J409">
        <v>60</v>
      </c>
    </row>
    <row r="410" spans="10:10" x14ac:dyDescent="0.25">
      <c r="J410">
        <v>89</v>
      </c>
    </row>
    <row r="411" spans="10:10" x14ac:dyDescent="0.25">
      <c r="J411">
        <v>0</v>
      </c>
    </row>
    <row r="412" spans="10:10" x14ac:dyDescent="0.25">
      <c r="J412">
        <v>0</v>
      </c>
    </row>
    <row r="413" spans="10:10" x14ac:dyDescent="0.25">
      <c r="J413">
        <v>52</v>
      </c>
    </row>
    <row r="414" spans="10:10" x14ac:dyDescent="0.25">
      <c r="J414">
        <v>28</v>
      </c>
    </row>
    <row r="415" spans="10:10" x14ac:dyDescent="0.25">
      <c r="J415">
        <v>9</v>
      </c>
    </row>
    <row r="416" spans="10:10" x14ac:dyDescent="0.25">
      <c r="J416">
        <v>0</v>
      </c>
    </row>
    <row r="417" spans="10:10" x14ac:dyDescent="0.25">
      <c r="J417">
        <v>84</v>
      </c>
    </row>
    <row r="418" spans="10:10" x14ac:dyDescent="0.25">
      <c r="J418">
        <v>6</v>
      </c>
    </row>
    <row r="419" spans="10:10" x14ac:dyDescent="0.25">
      <c r="J419">
        <v>0</v>
      </c>
    </row>
    <row r="420" spans="10:10" x14ac:dyDescent="0.25">
      <c r="J420">
        <v>96</v>
      </c>
    </row>
    <row r="421" spans="10:10" x14ac:dyDescent="0.25">
      <c r="J421">
        <v>0</v>
      </c>
    </row>
    <row r="422" spans="10:10" x14ac:dyDescent="0.25">
      <c r="J422">
        <v>65</v>
      </c>
    </row>
    <row r="423" spans="10:10" x14ac:dyDescent="0.25">
      <c r="J423">
        <v>32</v>
      </c>
    </row>
    <row r="424" spans="10:10" x14ac:dyDescent="0.25">
      <c r="J424">
        <v>0</v>
      </c>
    </row>
    <row r="425" spans="10:10" x14ac:dyDescent="0.25">
      <c r="J425">
        <v>100</v>
      </c>
    </row>
    <row r="426" spans="10:10" x14ac:dyDescent="0.25">
      <c r="J426">
        <v>0</v>
      </c>
    </row>
    <row r="427" spans="10:10" x14ac:dyDescent="0.25">
      <c r="J427">
        <v>0</v>
      </c>
    </row>
    <row r="428" spans="10:10" x14ac:dyDescent="0.25">
      <c r="J428">
        <v>33</v>
      </c>
    </row>
    <row r="429" spans="10:10" x14ac:dyDescent="0.25">
      <c r="J429">
        <v>68</v>
      </c>
    </row>
    <row r="430" spans="10:10" x14ac:dyDescent="0.25">
      <c r="J430">
        <v>0</v>
      </c>
    </row>
    <row r="431" spans="10:10" x14ac:dyDescent="0.25">
      <c r="J431">
        <v>102</v>
      </c>
    </row>
    <row r="432" spans="10:10" x14ac:dyDescent="0.25">
      <c r="J432">
        <v>0</v>
      </c>
    </row>
    <row r="433" spans="10:10" x14ac:dyDescent="0.25">
      <c r="J433">
        <v>0</v>
      </c>
    </row>
    <row r="434" spans="10:10" x14ac:dyDescent="0.25">
      <c r="J434">
        <v>0</v>
      </c>
    </row>
    <row r="435" spans="10:10" x14ac:dyDescent="0.25">
      <c r="J435">
        <v>102</v>
      </c>
    </row>
    <row r="436" spans="10:10" x14ac:dyDescent="0.25">
      <c r="J436">
        <v>0</v>
      </c>
    </row>
    <row r="437" spans="10:10" x14ac:dyDescent="0.25">
      <c r="J437">
        <v>0</v>
      </c>
    </row>
    <row r="438" spans="10:10" x14ac:dyDescent="0.25">
      <c r="J438">
        <v>103</v>
      </c>
    </row>
    <row r="439" spans="10:10" x14ac:dyDescent="0.25">
      <c r="J439">
        <v>0</v>
      </c>
    </row>
    <row r="440" spans="10:10" x14ac:dyDescent="0.25">
      <c r="J440">
        <v>0</v>
      </c>
    </row>
    <row r="441" spans="10:10" x14ac:dyDescent="0.25">
      <c r="J441">
        <v>103</v>
      </c>
    </row>
    <row r="442" spans="10:10" x14ac:dyDescent="0.25">
      <c r="J442">
        <v>0</v>
      </c>
    </row>
    <row r="443" spans="10:10" x14ac:dyDescent="0.25">
      <c r="J443">
        <v>25</v>
      </c>
    </row>
    <row r="444" spans="10:10" x14ac:dyDescent="0.25">
      <c r="J444">
        <v>79</v>
      </c>
    </row>
    <row r="445" spans="10:10" x14ac:dyDescent="0.25">
      <c r="J445">
        <v>0</v>
      </c>
    </row>
    <row r="446" spans="10:10" x14ac:dyDescent="0.25">
      <c r="J446">
        <v>105</v>
      </c>
    </row>
    <row r="447" spans="10:10" x14ac:dyDescent="0.25">
      <c r="J447">
        <v>0</v>
      </c>
    </row>
    <row r="448" spans="10:10" x14ac:dyDescent="0.25">
      <c r="J448">
        <v>0</v>
      </c>
    </row>
    <row r="449" spans="10:10" x14ac:dyDescent="0.25">
      <c r="J449">
        <v>29</v>
      </c>
    </row>
    <row r="450" spans="10:10" x14ac:dyDescent="0.25">
      <c r="J450">
        <v>71</v>
      </c>
    </row>
    <row r="451" spans="10:10" x14ac:dyDescent="0.25">
      <c r="J451">
        <v>9</v>
      </c>
    </row>
    <row r="452" spans="10:10" x14ac:dyDescent="0.25">
      <c r="J452">
        <v>25</v>
      </c>
    </row>
    <row r="453" spans="10:10" x14ac:dyDescent="0.25">
      <c r="J453">
        <v>88</v>
      </c>
    </row>
    <row r="454" spans="10:10" x14ac:dyDescent="0.25">
      <c r="J454">
        <v>0</v>
      </c>
    </row>
    <row r="455" spans="10:10" x14ac:dyDescent="0.25">
      <c r="J455">
        <v>0</v>
      </c>
    </row>
    <row r="456" spans="10:10" x14ac:dyDescent="0.25">
      <c r="J456">
        <v>114</v>
      </c>
    </row>
    <row r="457" spans="10:10" x14ac:dyDescent="0.25">
      <c r="J457">
        <v>0</v>
      </c>
    </row>
    <row r="458" spans="10:10" x14ac:dyDescent="0.25">
      <c r="J458">
        <v>16</v>
      </c>
    </row>
    <row r="459" spans="10:10" x14ac:dyDescent="0.25">
      <c r="J459">
        <v>99</v>
      </c>
    </row>
    <row r="460" spans="10:10" x14ac:dyDescent="0.25">
      <c r="J460">
        <v>0</v>
      </c>
    </row>
    <row r="461" spans="10:10" x14ac:dyDescent="0.25">
      <c r="J461">
        <v>22</v>
      </c>
    </row>
    <row r="462" spans="10:10" x14ac:dyDescent="0.25">
      <c r="J462">
        <v>78</v>
      </c>
    </row>
    <row r="463" spans="10:10" x14ac:dyDescent="0.25">
      <c r="J463">
        <v>18</v>
      </c>
    </row>
    <row r="464" spans="10:10" x14ac:dyDescent="0.25">
      <c r="J464">
        <v>2</v>
      </c>
    </row>
    <row r="465" spans="10:10" x14ac:dyDescent="0.25">
      <c r="J465">
        <v>112</v>
      </c>
    </row>
    <row r="466" spans="10:10" x14ac:dyDescent="0.25">
      <c r="J466">
        <v>5</v>
      </c>
    </row>
    <row r="467" spans="10:10" x14ac:dyDescent="0.25">
      <c r="J467">
        <v>7</v>
      </c>
    </row>
    <row r="468" spans="10:10" x14ac:dyDescent="0.25">
      <c r="J468">
        <v>119</v>
      </c>
    </row>
    <row r="469" spans="10:10" x14ac:dyDescent="0.25">
      <c r="J469">
        <v>0</v>
      </c>
    </row>
    <row r="470" spans="10:10" x14ac:dyDescent="0.25">
      <c r="J470">
        <v>78</v>
      </c>
    </row>
    <row r="471" spans="10:10" x14ac:dyDescent="0.25">
      <c r="J471">
        <v>37</v>
      </c>
    </row>
    <row r="472" spans="10:10" x14ac:dyDescent="0.25">
      <c r="J472">
        <v>12</v>
      </c>
    </row>
    <row r="473" spans="10:10" x14ac:dyDescent="0.25">
      <c r="J473">
        <v>0</v>
      </c>
    </row>
    <row r="474" spans="10:10" x14ac:dyDescent="0.25">
      <c r="J474">
        <v>132</v>
      </c>
    </row>
    <row r="475" spans="10:10" x14ac:dyDescent="0.25">
      <c r="J475">
        <v>0</v>
      </c>
    </row>
    <row r="476" spans="10:10" x14ac:dyDescent="0.25">
      <c r="J476">
        <v>110</v>
      </c>
    </row>
    <row r="477" spans="10:10" x14ac:dyDescent="0.25">
      <c r="J477">
        <v>24</v>
      </c>
    </row>
    <row r="478" spans="10:10" x14ac:dyDescent="0.25">
      <c r="J478">
        <v>0</v>
      </c>
    </row>
    <row r="479" spans="10:10" x14ac:dyDescent="0.25">
      <c r="J479">
        <v>107</v>
      </c>
    </row>
    <row r="480" spans="10:10" x14ac:dyDescent="0.25">
      <c r="J480">
        <v>30</v>
      </c>
    </row>
    <row r="481" spans="10:10" x14ac:dyDescent="0.25">
      <c r="J481">
        <v>0</v>
      </c>
    </row>
    <row r="482" spans="10:10" x14ac:dyDescent="0.25">
      <c r="J482">
        <v>17</v>
      </c>
    </row>
    <row r="483" spans="10:10" x14ac:dyDescent="0.25">
      <c r="J483">
        <v>120</v>
      </c>
    </row>
    <row r="484" spans="10:10" x14ac:dyDescent="0.25">
      <c r="J484">
        <v>2</v>
      </c>
    </row>
    <row r="485" spans="10:10" x14ac:dyDescent="0.25">
      <c r="J485">
        <v>24</v>
      </c>
    </row>
    <row r="486" spans="10:10" x14ac:dyDescent="0.25">
      <c r="J486">
        <v>76</v>
      </c>
    </row>
    <row r="487" spans="10:10" x14ac:dyDescent="0.25">
      <c r="J487">
        <v>39</v>
      </c>
    </row>
    <row r="488" spans="10:10" x14ac:dyDescent="0.25">
      <c r="J488">
        <v>103</v>
      </c>
    </row>
    <row r="489" spans="10:10" x14ac:dyDescent="0.25">
      <c r="J489">
        <v>39</v>
      </c>
    </row>
    <row r="490" spans="10:10" x14ac:dyDescent="0.25">
      <c r="J490">
        <v>0</v>
      </c>
    </row>
    <row r="491" spans="10:10" x14ac:dyDescent="0.25">
      <c r="J491">
        <v>82</v>
      </c>
    </row>
    <row r="492" spans="10:10" x14ac:dyDescent="0.25">
      <c r="J492">
        <v>62</v>
      </c>
    </row>
    <row r="493" spans="10:10" x14ac:dyDescent="0.25">
      <c r="J493">
        <v>0</v>
      </c>
    </row>
    <row r="494" spans="10:10" x14ac:dyDescent="0.25">
      <c r="J494">
        <v>0</v>
      </c>
    </row>
    <row r="495" spans="10:10" x14ac:dyDescent="0.25">
      <c r="J495">
        <v>144</v>
      </c>
    </row>
    <row r="496" spans="10:10" x14ac:dyDescent="0.25">
      <c r="J496">
        <v>0</v>
      </c>
    </row>
    <row r="497" spans="10:10" x14ac:dyDescent="0.25">
      <c r="J497">
        <v>0</v>
      </c>
    </row>
    <row r="498" spans="10:10" x14ac:dyDescent="0.25">
      <c r="J498">
        <v>145</v>
      </c>
    </row>
    <row r="499" spans="10:10" x14ac:dyDescent="0.25">
      <c r="J499">
        <v>0</v>
      </c>
    </row>
    <row r="500" spans="10:10" x14ac:dyDescent="0.25">
      <c r="J500">
        <v>2</v>
      </c>
    </row>
    <row r="501" spans="10:10" x14ac:dyDescent="0.25">
      <c r="J501">
        <v>145</v>
      </c>
    </row>
    <row r="502" spans="10:10" x14ac:dyDescent="0.25">
      <c r="J502">
        <v>0</v>
      </c>
    </row>
    <row r="503" spans="10:10" x14ac:dyDescent="0.25">
      <c r="J503">
        <v>0</v>
      </c>
    </row>
    <row r="504" spans="10:10" x14ac:dyDescent="0.25">
      <c r="J504">
        <v>148</v>
      </c>
    </row>
    <row r="505" spans="10:10" x14ac:dyDescent="0.25">
      <c r="J505">
        <v>0</v>
      </c>
    </row>
    <row r="506" spans="10:10" x14ac:dyDescent="0.25">
      <c r="J506">
        <v>2</v>
      </c>
    </row>
    <row r="507" spans="10:10" x14ac:dyDescent="0.25">
      <c r="J507">
        <v>148</v>
      </c>
    </row>
    <row r="508" spans="10:10" x14ac:dyDescent="0.25">
      <c r="J508">
        <v>0</v>
      </c>
    </row>
    <row r="509" spans="10:10" x14ac:dyDescent="0.25">
      <c r="J509">
        <v>0</v>
      </c>
    </row>
    <row r="510" spans="10:10" x14ac:dyDescent="0.25">
      <c r="J510">
        <v>151</v>
      </c>
    </row>
    <row r="511" spans="10:10" x14ac:dyDescent="0.25">
      <c r="J511">
        <v>0</v>
      </c>
    </row>
    <row r="512" spans="10:10" x14ac:dyDescent="0.25">
      <c r="J512">
        <v>0</v>
      </c>
    </row>
    <row r="513" spans="10:10" x14ac:dyDescent="0.25">
      <c r="J513">
        <v>155</v>
      </c>
    </row>
    <row r="514" spans="10:10" x14ac:dyDescent="0.25">
      <c r="J514">
        <v>0</v>
      </c>
    </row>
    <row r="515" spans="10:10" x14ac:dyDescent="0.25">
      <c r="J515">
        <v>6</v>
      </c>
    </row>
    <row r="516" spans="10:10" x14ac:dyDescent="0.25">
      <c r="J516">
        <v>150</v>
      </c>
    </row>
    <row r="517" spans="10:10" x14ac:dyDescent="0.25">
      <c r="J517">
        <v>0</v>
      </c>
    </row>
    <row r="518" spans="10:10" x14ac:dyDescent="0.25">
      <c r="J518">
        <v>102</v>
      </c>
    </row>
    <row r="519" spans="10:10" x14ac:dyDescent="0.25">
      <c r="J519">
        <v>54</v>
      </c>
    </row>
    <row r="520" spans="10:10" x14ac:dyDescent="0.25">
      <c r="J520">
        <v>0</v>
      </c>
    </row>
    <row r="521" spans="10:10" x14ac:dyDescent="0.25">
      <c r="J521">
        <v>3</v>
      </c>
    </row>
    <row r="522" spans="10:10" x14ac:dyDescent="0.25">
      <c r="J522">
        <v>158</v>
      </c>
    </row>
    <row r="523" spans="10:10" x14ac:dyDescent="0.25">
      <c r="J523">
        <v>0</v>
      </c>
    </row>
    <row r="524" spans="10:10" x14ac:dyDescent="0.25">
      <c r="J524">
        <v>16</v>
      </c>
    </row>
    <row r="525" spans="10:10" x14ac:dyDescent="0.25">
      <c r="J525">
        <v>145</v>
      </c>
    </row>
    <row r="526" spans="10:10" x14ac:dyDescent="0.25">
      <c r="J526">
        <v>10</v>
      </c>
    </row>
    <row r="527" spans="10:10" x14ac:dyDescent="0.25">
      <c r="J527">
        <v>1</v>
      </c>
    </row>
    <row r="528" spans="10:10" x14ac:dyDescent="0.25">
      <c r="J528">
        <v>170</v>
      </c>
    </row>
    <row r="529" spans="10:10" x14ac:dyDescent="0.25">
      <c r="J529">
        <v>0</v>
      </c>
    </row>
    <row r="530" spans="10:10" x14ac:dyDescent="0.25">
      <c r="J530">
        <v>195</v>
      </c>
    </row>
    <row r="531" spans="10:10" x14ac:dyDescent="0.25">
      <c r="J531">
        <v>0</v>
      </c>
    </row>
    <row r="532" spans="10:10" x14ac:dyDescent="0.25">
      <c r="J532">
        <v>0</v>
      </c>
    </row>
    <row r="533" spans="10:10" x14ac:dyDescent="0.25">
      <c r="J533">
        <v>1</v>
      </c>
    </row>
    <row r="534" spans="10:10" x14ac:dyDescent="0.25">
      <c r="J534">
        <v>198</v>
      </c>
    </row>
    <row r="535" spans="10:10" x14ac:dyDescent="0.25">
      <c r="J535">
        <v>0</v>
      </c>
    </row>
    <row r="536" spans="10:10" x14ac:dyDescent="0.25">
      <c r="J536">
        <v>0</v>
      </c>
    </row>
    <row r="537" spans="10:10" x14ac:dyDescent="0.25">
      <c r="J537">
        <v>201</v>
      </c>
    </row>
    <row r="538" spans="10:10" x14ac:dyDescent="0.25">
      <c r="J538">
        <v>0</v>
      </c>
    </row>
    <row r="539" spans="10:10" x14ac:dyDescent="0.25">
      <c r="J539">
        <v>35</v>
      </c>
    </row>
    <row r="540" spans="10:10" x14ac:dyDescent="0.25">
      <c r="J540">
        <v>168</v>
      </c>
    </row>
    <row r="541" spans="10:10" x14ac:dyDescent="0.25">
      <c r="J541">
        <v>0</v>
      </c>
    </row>
    <row r="542" spans="10:10" x14ac:dyDescent="0.25">
      <c r="J542">
        <v>69</v>
      </c>
    </row>
    <row r="543" spans="10:10" x14ac:dyDescent="0.25">
      <c r="J543">
        <v>172</v>
      </c>
    </row>
    <row r="544" spans="10:10" x14ac:dyDescent="0.25">
      <c r="J544">
        <v>0</v>
      </c>
    </row>
    <row r="545" spans="10:10" x14ac:dyDescent="0.25">
      <c r="J545">
        <v>61</v>
      </c>
    </row>
    <row r="546" spans="10:10" x14ac:dyDescent="0.25">
      <c r="J546">
        <v>181</v>
      </c>
    </row>
    <row r="547" spans="10:10" x14ac:dyDescent="0.25">
      <c r="J547">
        <v>0</v>
      </c>
    </row>
    <row r="548" spans="10:10" x14ac:dyDescent="0.25">
      <c r="J548">
        <v>55</v>
      </c>
    </row>
    <row r="549" spans="10:10" x14ac:dyDescent="0.25">
      <c r="J549">
        <v>191</v>
      </c>
    </row>
    <row r="550" spans="10:10" x14ac:dyDescent="0.25">
      <c r="J550">
        <v>0</v>
      </c>
    </row>
    <row r="551" spans="10:10" x14ac:dyDescent="0.25">
      <c r="J551">
        <v>0</v>
      </c>
    </row>
    <row r="552" spans="10:10" x14ac:dyDescent="0.25">
      <c r="J552">
        <v>246</v>
      </c>
    </row>
    <row r="553" spans="10:10" x14ac:dyDescent="0.25">
      <c r="J553">
        <v>0</v>
      </c>
    </row>
    <row r="554" spans="10:10" x14ac:dyDescent="0.25">
      <c r="J554">
        <v>0</v>
      </c>
    </row>
    <row r="555" spans="10:10" x14ac:dyDescent="0.25">
      <c r="J555">
        <v>250</v>
      </c>
    </row>
    <row r="556" spans="10:10" x14ac:dyDescent="0.25">
      <c r="J556">
        <v>0</v>
      </c>
    </row>
    <row r="557" spans="10:10" x14ac:dyDescent="0.25">
      <c r="J557">
        <v>184</v>
      </c>
    </row>
    <row r="558" spans="10:10" x14ac:dyDescent="0.25">
      <c r="J558">
        <v>67</v>
      </c>
    </row>
    <row r="559" spans="10:10" x14ac:dyDescent="0.25">
      <c r="J559">
        <v>0</v>
      </c>
    </row>
    <row r="560" spans="10:10" x14ac:dyDescent="0.25">
      <c r="J560">
        <v>0</v>
      </c>
    </row>
    <row r="561" spans="10:10" x14ac:dyDescent="0.25">
      <c r="J561">
        <v>0</v>
      </c>
    </row>
    <row r="562" spans="10:10" x14ac:dyDescent="0.25">
      <c r="J562">
        <v>258</v>
      </c>
    </row>
    <row r="563" spans="10:10" x14ac:dyDescent="0.25">
      <c r="J563">
        <v>145</v>
      </c>
    </row>
    <row r="564" spans="10:10" x14ac:dyDescent="0.25">
      <c r="J564">
        <v>115</v>
      </c>
    </row>
    <row r="565" spans="10:10" x14ac:dyDescent="0.25">
      <c r="J565">
        <v>0</v>
      </c>
    </row>
    <row r="566" spans="10:10" x14ac:dyDescent="0.25">
      <c r="J566">
        <v>2</v>
      </c>
    </row>
    <row r="567" spans="10:10" x14ac:dyDescent="0.25">
      <c r="J567">
        <v>271</v>
      </c>
    </row>
    <row r="568" spans="10:10" x14ac:dyDescent="0.25">
      <c r="J568">
        <v>0</v>
      </c>
    </row>
    <row r="569" spans="10:10" x14ac:dyDescent="0.25">
      <c r="J569">
        <v>16</v>
      </c>
    </row>
    <row r="570" spans="10:10" x14ac:dyDescent="0.25">
      <c r="J570">
        <v>269</v>
      </c>
    </row>
    <row r="571" spans="10:10" x14ac:dyDescent="0.25">
      <c r="J571">
        <v>0</v>
      </c>
    </row>
    <row r="572" spans="10:10" x14ac:dyDescent="0.25">
      <c r="J572">
        <v>39</v>
      </c>
    </row>
    <row r="573" spans="10:10" x14ac:dyDescent="0.25">
      <c r="J573">
        <v>246</v>
      </c>
    </row>
    <row r="574" spans="10:10" x14ac:dyDescent="0.25">
      <c r="J574">
        <v>0</v>
      </c>
    </row>
    <row r="575" spans="10:10" x14ac:dyDescent="0.25">
      <c r="J575">
        <v>0</v>
      </c>
    </row>
    <row r="576" spans="10:10" x14ac:dyDescent="0.25">
      <c r="J576">
        <v>300</v>
      </c>
    </row>
    <row r="577" spans="10:10" x14ac:dyDescent="0.25">
      <c r="J577">
        <v>0</v>
      </c>
    </row>
    <row r="578" spans="10:10" x14ac:dyDescent="0.25">
      <c r="J578">
        <v>305</v>
      </c>
    </row>
    <row r="579" spans="10:10" x14ac:dyDescent="0.25">
      <c r="J579">
        <v>0</v>
      </c>
    </row>
    <row r="580" spans="10:10" x14ac:dyDescent="0.25">
      <c r="J580">
        <v>0</v>
      </c>
    </row>
    <row r="581" spans="10:10" x14ac:dyDescent="0.25">
      <c r="J581">
        <v>35</v>
      </c>
    </row>
    <row r="582" spans="10:10" x14ac:dyDescent="0.25">
      <c r="J582">
        <v>272</v>
      </c>
    </row>
    <row r="583" spans="10:10" x14ac:dyDescent="0.25">
      <c r="J583">
        <v>0</v>
      </c>
    </row>
    <row r="584" spans="10:10" x14ac:dyDescent="0.25">
      <c r="J584">
        <v>33</v>
      </c>
    </row>
    <row r="585" spans="10:10" x14ac:dyDescent="0.25">
      <c r="J585">
        <v>274</v>
      </c>
    </row>
    <row r="586" spans="10:10" x14ac:dyDescent="0.25">
      <c r="J586">
        <v>0</v>
      </c>
    </row>
    <row r="587" spans="10:10" x14ac:dyDescent="0.25">
      <c r="J587">
        <v>0</v>
      </c>
    </row>
    <row r="588" spans="10:10" x14ac:dyDescent="0.25">
      <c r="J588">
        <v>312</v>
      </c>
    </row>
    <row r="589" spans="10:10" x14ac:dyDescent="0.25">
      <c r="J589">
        <v>0</v>
      </c>
    </row>
    <row r="590" spans="10:10" x14ac:dyDescent="0.25">
      <c r="J590">
        <v>0</v>
      </c>
    </row>
    <row r="591" spans="10:10" x14ac:dyDescent="0.25">
      <c r="J591">
        <v>316</v>
      </c>
    </row>
    <row r="592" spans="10:10" x14ac:dyDescent="0.25">
      <c r="J592">
        <v>0</v>
      </c>
    </row>
    <row r="593" spans="10:10" x14ac:dyDescent="0.25">
      <c r="J593">
        <v>22</v>
      </c>
    </row>
    <row r="594" spans="10:10" x14ac:dyDescent="0.25">
      <c r="J594">
        <v>280</v>
      </c>
    </row>
    <row r="595" spans="10:10" x14ac:dyDescent="0.25">
      <c r="J595">
        <v>15</v>
      </c>
    </row>
    <row r="596" spans="10:10" x14ac:dyDescent="0.25">
      <c r="J596">
        <v>0</v>
      </c>
    </row>
    <row r="597" spans="10:10" x14ac:dyDescent="0.25">
      <c r="J597">
        <v>328</v>
      </c>
    </row>
    <row r="598" spans="10:10" x14ac:dyDescent="0.25">
      <c r="J598">
        <v>0</v>
      </c>
    </row>
    <row r="599" spans="10:10" x14ac:dyDescent="0.25">
      <c r="J599">
        <v>17</v>
      </c>
    </row>
    <row r="600" spans="10:10" x14ac:dyDescent="0.25">
      <c r="J600">
        <v>324</v>
      </c>
    </row>
    <row r="601" spans="10:10" x14ac:dyDescent="0.25">
      <c r="J601">
        <v>0</v>
      </c>
    </row>
    <row r="602" spans="10:10" x14ac:dyDescent="0.25">
      <c r="J602">
        <v>6</v>
      </c>
    </row>
    <row r="603" spans="10:10" x14ac:dyDescent="0.25">
      <c r="J603">
        <v>383</v>
      </c>
    </row>
    <row r="604" spans="10:10" x14ac:dyDescent="0.25">
      <c r="J604">
        <v>20</v>
      </c>
    </row>
    <row r="605" spans="10:10" x14ac:dyDescent="0.25">
      <c r="J605">
        <v>0</v>
      </c>
    </row>
    <row r="606" spans="10:10" x14ac:dyDescent="0.25">
      <c r="J606">
        <v>462</v>
      </c>
    </row>
    <row r="607" spans="10:10" x14ac:dyDescent="0.25">
      <c r="J607">
        <v>0</v>
      </c>
    </row>
    <row r="608" spans="10:10" x14ac:dyDescent="0.25">
      <c r="J608">
        <v>67</v>
      </c>
    </row>
    <row r="609" spans="10:10" x14ac:dyDescent="0.25">
      <c r="J609">
        <v>433</v>
      </c>
    </row>
    <row r="610" spans="10:10" x14ac:dyDescent="0.25">
      <c r="J610">
        <v>0</v>
      </c>
    </row>
    <row r="611" spans="10:10" x14ac:dyDescent="0.25">
      <c r="J611">
        <v>0</v>
      </c>
    </row>
    <row r="612" spans="10:10" x14ac:dyDescent="0.25">
      <c r="J612">
        <v>500</v>
      </c>
    </row>
    <row r="613" spans="10:10" x14ac:dyDescent="0.25">
      <c r="J613">
        <v>0</v>
      </c>
    </row>
    <row r="614" spans="10:10" x14ac:dyDescent="0.25">
      <c r="J614">
        <v>549</v>
      </c>
    </row>
    <row r="615" spans="10:10" x14ac:dyDescent="0.25">
      <c r="J615">
        <v>0</v>
      </c>
    </row>
    <row r="616" spans="10:10" x14ac:dyDescent="0.25">
      <c r="J616">
        <v>0</v>
      </c>
    </row>
    <row r="617" spans="10:10" x14ac:dyDescent="0.25">
      <c r="J617">
        <v>118</v>
      </c>
    </row>
    <row r="618" spans="10:10" x14ac:dyDescent="0.25">
      <c r="J618">
        <v>440</v>
      </c>
    </row>
    <row r="619" spans="10:10" x14ac:dyDescent="0.25">
      <c r="J619">
        <v>0</v>
      </c>
    </row>
    <row r="620" spans="10:10" x14ac:dyDescent="0.25">
      <c r="J620">
        <v>0</v>
      </c>
    </row>
    <row r="621" spans="10:10" x14ac:dyDescent="0.25">
      <c r="J621">
        <v>586</v>
      </c>
    </row>
    <row r="622" spans="10:10" x14ac:dyDescent="0.25">
      <c r="J622">
        <v>0</v>
      </c>
    </row>
    <row r="623" spans="10:10" x14ac:dyDescent="0.25">
      <c r="J623">
        <v>88</v>
      </c>
    </row>
    <row r="624" spans="10:10" x14ac:dyDescent="0.25">
      <c r="J624">
        <v>545</v>
      </c>
    </row>
    <row r="625" spans="10:10" x14ac:dyDescent="0.25">
      <c r="J625">
        <v>0</v>
      </c>
    </row>
    <row r="626" spans="10:10" x14ac:dyDescent="0.25">
      <c r="J626">
        <v>0</v>
      </c>
    </row>
    <row r="627" spans="10:10" x14ac:dyDescent="0.25">
      <c r="J627">
        <v>695</v>
      </c>
    </row>
    <row r="628" spans="10:10" x14ac:dyDescent="0.25">
      <c r="J628">
        <v>0</v>
      </c>
    </row>
    <row r="629" spans="10:10" x14ac:dyDescent="0.25">
      <c r="J629">
        <v>0</v>
      </c>
    </row>
    <row r="630" spans="10:10" x14ac:dyDescent="0.25">
      <c r="J630">
        <v>754</v>
      </c>
    </row>
    <row r="631" spans="10:10" x14ac:dyDescent="0.25">
      <c r="J631">
        <v>0</v>
      </c>
    </row>
    <row r="632" spans="10:10" x14ac:dyDescent="0.25">
      <c r="J632">
        <v>97</v>
      </c>
    </row>
    <row r="633" spans="10:10" x14ac:dyDescent="0.25">
      <c r="J633">
        <v>791</v>
      </c>
    </row>
    <row r="634" spans="10:10" x14ac:dyDescent="0.25">
      <c r="J634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133A-E023-46BF-AAB6-EE76900B2647}">
  <sheetPr filterMode="1"/>
  <dimension ref="A1:K213"/>
  <sheetViews>
    <sheetView workbookViewId="0">
      <selection activeCell="O244" sqref="O244"/>
    </sheetView>
  </sheetViews>
  <sheetFormatPr defaultColWidth="9.140625" defaultRowHeight="15" x14ac:dyDescent="0.25"/>
  <sheetData>
    <row r="1" spans="1:11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" hidden="1" x14ac:dyDescent="0.25">
      <c r="A2">
        <v>67</v>
      </c>
      <c r="C2">
        <v>7194850809</v>
      </c>
      <c r="D2">
        <v>10</v>
      </c>
      <c r="E2">
        <v>0</v>
      </c>
      <c r="F2">
        <v>0</v>
      </c>
      <c r="G2">
        <v>10</v>
      </c>
      <c r="H2">
        <v>4.6634919999999997</v>
      </c>
      <c r="I2">
        <v>-74.132259000000005</v>
      </c>
      <c r="J2">
        <f t="shared" ref="J2:J65" si="0">IF(AND(D2&gt;=1,E2&gt;=1,F2&gt;=1),1,0)</f>
        <v>0</v>
      </c>
      <c r="K2">
        <f t="shared" ref="K2:K65" si="1">IF((D2&gt;=1)+(E2&gt;=1)+(F2&gt;=1)&gt;=2,1,0)</f>
        <v>0</v>
      </c>
    </row>
    <row r="3" spans="1:11" hidden="1" x14ac:dyDescent="0.25">
      <c r="A3">
        <v>72</v>
      </c>
      <c r="C3">
        <v>7194857405</v>
      </c>
      <c r="D3">
        <v>10</v>
      </c>
      <c r="E3">
        <v>0</v>
      </c>
      <c r="F3">
        <v>0</v>
      </c>
      <c r="G3">
        <v>10</v>
      </c>
      <c r="H3">
        <v>4.6663709999999998</v>
      </c>
      <c r="I3">
        <v>-74.052637000000004</v>
      </c>
      <c r="J3">
        <f t="shared" si="0"/>
        <v>0</v>
      </c>
      <c r="K3">
        <f t="shared" si="1"/>
        <v>0</v>
      </c>
    </row>
    <row r="4" spans="1:11" hidden="1" x14ac:dyDescent="0.25">
      <c r="A4">
        <v>101</v>
      </c>
      <c r="C4">
        <v>7194867604</v>
      </c>
      <c r="D4">
        <v>10</v>
      </c>
      <c r="E4">
        <v>0</v>
      </c>
      <c r="F4">
        <v>0</v>
      </c>
      <c r="G4">
        <v>10</v>
      </c>
      <c r="H4">
        <v>4.6958890000000002</v>
      </c>
      <c r="I4">
        <v>-74.044300000000007</v>
      </c>
      <c r="J4">
        <f t="shared" si="0"/>
        <v>0</v>
      </c>
      <c r="K4">
        <f t="shared" si="1"/>
        <v>0</v>
      </c>
    </row>
    <row r="5" spans="1:11" hidden="1" x14ac:dyDescent="0.25">
      <c r="A5">
        <v>187</v>
      </c>
      <c r="C5">
        <v>7194860925</v>
      </c>
      <c r="D5">
        <v>0</v>
      </c>
      <c r="E5">
        <v>10</v>
      </c>
      <c r="F5">
        <v>0</v>
      </c>
      <c r="G5">
        <v>10</v>
      </c>
      <c r="H5">
        <v>4.6290779999999998</v>
      </c>
      <c r="I5">
        <v>-74.089794999999995</v>
      </c>
      <c r="J5">
        <f t="shared" si="0"/>
        <v>0</v>
      </c>
      <c r="K5">
        <f t="shared" si="1"/>
        <v>0</v>
      </c>
    </row>
    <row r="6" spans="1:11" hidden="1" x14ac:dyDescent="0.25">
      <c r="A6">
        <v>248</v>
      </c>
      <c r="C6">
        <v>7194865825</v>
      </c>
      <c r="D6">
        <v>0</v>
      </c>
      <c r="E6">
        <v>10</v>
      </c>
      <c r="F6">
        <v>0</v>
      </c>
      <c r="G6">
        <v>10</v>
      </c>
      <c r="H6">
        <v>4.865564</v>
      </c>
      <c r="I6">
        <v>-74.039570999999995</v>
      </c>
      <c r="J6">
        <f t="shared" si="0"/>
        <v>0</v>
      </c>
      <c r="K6">
        <f t="shared" si="1"/>
        <v>0</v>
      </c>
    </row>
    <row r="7" spans="1:11" hidden="1" x14ac:dyDescent="0.25">
      <c r="A7">
        <v>256</v>
      </c>
      <c r="C7">
        <v>7194865758</v>
      </c>
      <c r="D7">
        <v>0</v>
      </c>
      <c r="E7">
        <v>0</v>
      </c>
      <c r="F7">
        <v>10</v>
      </c>
      <c r="G7">
        <v>10</v>
      </c>
      <c r="H7">
        <v>4.7607419999999996</v>
      </c>
      <c r="I7">
        <v>-74.059270999999995</v>
      </c>
      <c r="J7">
        <f t="shared" si="0"/>
        <v>0</v>
      </c>
      <c r="K7">
        <f t="shared" si="1"/>
        <v>0</v>
      </c>
    </row>
    <row r="8" spans="1:11" hidden="1" x14ac:dyDescent="0.25">
      <c r="A8">
        <v>88</v>
      </c>
      <c r="C8">
        <v>7194835838</v>
      </c>
      <c r="D8">
        <v>11</v>
      </c>
      <c r="E8">
        <v>0</v>
      </c>
      <c r="F8">
        <v>0</v>
      </c>
      <c r="G8">
        <v>11</v>
      </c>
      <c r="H8">
        <v>4.6854279999999999</v>
      </c>
      <c r="I8">
        <v>-74.060181999999998</v>
      </c>
      <c r="J8">
        <f t="shared" si="0"/>
        <v>0</v>
      </c>
      <c r="K8">
        <f t="shared" si="1"/>
        <v>0</v>
      </c>
    </row>
    <row r="9" spans="1:11" hidden="1" x14ac:dyDescent="0.25">
      <c r="A9">
        <v>188</v>
      </c>
      <c r="C9">
        <v>7194869122</v>
      </c>
      <c r="D9">
        <v>0</v>
      </c>
      <c r="E9">
        <v>12</v>
      </c>
      <c r="F9">
        <v>0</v>
      </c>
      <c r="G9">
        <v>12</v>
      </c>
      <c r="H9">
        <v>4.629937</v>
      </c>
      <c r="I9">
        <v>-74.128376000000003</v>
      </c>
      <c r="J9">
        <f t="shared" si="0"/>
        <v>0</v>
      </c>
      <c r="K9">
        <f t="shared" si="1"/>
        <v>0</v>
      </c>
    </row>
    <row r="10" spans="1:11" hidden="1" x14ac:dyDescent="0.25">
      <c r="A10">
        <v>229</v>
      </c>
      <c r="C10">
        <v>7194820673</v>
      </c>
      <c r="D10">
        <v>0</v>
      </c>
      <c r="E10">
        <v>12</v>
      </c>
      <c r="F10">
        <v>0</v>
      </c>
      <c r="G10">
        <v>12</v>
      </c>
      <c r="H10">
        <v>4.7325010000000001</v>
      </c>
      <c r="I10">
        <v>-74.065488999999999</v>
      </c>
      <c r="J10">
        <f t="shared" si="0"/>
        <v>0</v>
      </c>
      <c r="K10">
        <f t="shared" si="1"/>
        <v>0</v>
      </c>
    </row>
    <row r="11" spans="1:11" hidden="1" x14ac:dyDescent="0.25">
      <c r="A11">
        <v>234</v>
      </c>
      <c r="C11">
        <v>7194855278</v>
      </c>
      <c r="D11">
        <v>0</v>
      </c>
      <c r="E11">
        <v>12</v>
      </c>
      <c r="F11">
        <v>0</v>
      </c>
      <c r="G11">
        <v>12</v>
      </c>
      <c r="H11">
        <v>4.7498659999999999</v>
      </c>
      <c r="I11">
        <v>-74.145450999999994</v>
      </c>
      <c r="J11">
        <f t="shared" si="0"/>
        <v>0</v>
      </c>
      <c r="K11">
        <f t="shared" si="1"/>
        <v>0</v>
      </c>
    </row>
    <row r="12" spans="1:11" hidden="1" x14ac:dyDescent="0.25">
      <c r="A12">
        <v>106</v>
      </c>
      <c r="C12">
        <v>7194864609</v>
      </c>
      <c r="D12">
        <v>13</v>
      </c>
      <c r="E12">
        <v>0</v>
      </c>
      <c r="F12">
        <v>0</v>
      </c>
      <c r="G12">
        <v>13</v>
      </c>
      <c r="H12">
        <v>4.6972149999999999</v>
      </c>
      <c r="I12">
        <v>-74.050325999999998</v>
      </c>
      <c r="J12">
        <f t="shared" si="0"/>
        <v>0</v>
      </c>
      <c r="K12">
        <f t="shared" si="1"/>
        <v>0</v>
      </c>
    </row>
    <row r="13" spans="1:11" hidden="1" x14ac:dyDescent="0.25">
      <c r="A13">
        <v>121</v>
      </c>
      <c r="C13">
        <v>7194863857</v>
      </c>
      <c r="D13">
        <v>14</v>
      </c>
      <c r="E13">
        <v>0</v>
      </c>
      <c r="F13">
        <v>0</v>
      </c>
      <c r="G13">
        <v>14</v>
      </c>
      <c r="H13">
        <v>4.7073320000000001</v>
      </c>
      <c r="I13">
        <v>-74.051469999999995</v>
      </c>
      <c r="J13">
        <f t="shared" si="0"/>
        <v>0</v>
      </c>
      <c r="K13">
        <f t="shared" si="1"/>
        <v>0</v>
      </c>
    </row>
    <row r="14" spans="1:11" hidden="1" x14ac:dyDescent="0.25">
      <c r="A14">
        <v>183</v>
      </c>
      <c r="C14">
        <v>7194841705</v>
      </c>
      <c r="D14">
        <v>0</v>
      </c>
      <c r="E14">
        <v>14</v>
      </c>
      <c r="F14">
        <v>0</v>
      </c>
      <c r="G14">
        <v>14</v>
      </c>
      <c r="H14">
        <v>4.6178419999999996</v>
      </c>
      <c r="I14">
        <v>-74.099767999999997</v>
      </c>
      <c r="J14">
        <f t="shared" si="0"/>
        <v>0</v>
      </c>
      <c r="K14">
        <f t="shared" si="1"/>
        <v>0</v>
      </c>
    </row>
    <row r="15" spans="1:11" hidden="1" x14ac:dyDescent="0.25">
      <c r="A15">
        <v>218</v>
      </c>
      <c r="C15">
        <v>7194858455</v>
      </c>
      <c r="D15">
        <v>0</v>
      </c>
      <c r="E15">
        <v>14</v>
      </c>
      <c r="F15">
        <v>0</v>
      </c>
      <c r="G15">
        <v>14</v>
      </c>
      <c r="H15">
        <v>4.6905859999999997</v>
      </c>
      <c r="I15">
        <v>-74.065459000000004</v>
      </c>
      <c r="J15">
        <f t="shared" si="0"/>
        <v>0</v>
      </c>
      <c r="K15">
        <f t="shared" si="1"/>
        <v>0</v>
      </c>
    </row>
    <row r="16" spans="1:11" hidden="1" x14ac:dyDescent="0.25">
      <c r="A16">
        <v>12</v>
      </c>
      <c r="C16">
        <v>7194795199</v>
      </c>
      <c r="D16">
        <v>15</v>
      </c>
      <c r="E16">
        <v>0</v>
      </c>
      <c r="F16">
        <v>0</v>
      </c>
      <c r="G16">
        <v>15</v>
      </c>
      <c r="H16">
        <v>4.6068290000000003</v>
      </c>
      <c r="I16">
        <v>-74.217431000000005</v>
      </c>
      <c r="J16">
        <f t="shared" si="0"/>
        <v>0</v>
      </c>
      <c r="K16">
        <f t="shared" si="1"/>
        <v>0</v>
      </c>
    </row>
    <row r="17" spans="1:11" hidden="1" x14ac:dyDescent="0.25">
      <c r="A17">
        <v>46</v>
      </c>
      <c r="C17">
        <v>7194850840</v>
      </c>
      <c r="D17">
        <v>15</v>
      </c>
      <c r="E17">
        <v>0</v>
      </c>
      <c r="F17">
        <v>0</v>
      </c>
      <c r="G17">
        <v>15</v>
      </c>
      <c r="H17">
        <v>4.6459349999999997</v>
      </c>
      <c r="I17">
        <v>-74.103599000000003</v>
      </c>
      <c r="J17">
        <f t="shared" si="0"/>
        <v>0</v>
      </c>
      <c r="K17">
        <f t="shared" si="1"/>
        <v>0</v>
      </c>
    </row>
    <row r="18" spans="1:11" hidden="1" x14ac:dyDescent="0.25">
      <c r="A18">
        <v>95</v>
      </c>
      <c r="C18">
        <v>7194865620</v>
      </c>
      <c r="D18">
        <v>15</v>
      </c>
      <c r="E18">
        <v>0</v>
      </c>
      <c r="F18">
        <v>0</v>
      </c>
      <c r="G18">
        <v>15</v>
      </c>
      <c r="H18">
        <v>4.6917549999999997</v>
      </c>
      <c r="I18">
        <v>-74.034870999999995</v>
      </c>
      <c r="J18">
        <f t="shared" si="0"/>
        <v>0</v>
      </c>
      <c r="K18">
        <f t="shared" si="1"/>
        <v>0</v>
      </c>
    </row>
    <row r="19" spans="1:11" hidden="1" x14ac:dyDescent="0.25">
      <c r="A19">
        <v>175</v>
      </c>
      <c r="C19">
        <v>7194859901</v>
      </c>
      <c r="D19">
        <v>0</v>
      </c>
      <c r="E19">
        <v>15</v>
      </c>
      <c r="F19">
        <v>0</v>
      </c>
      <c r="G19">
        <v>15</v>
      </c>
      <c r="H19">
        <v>4.5930460000000002</v>
      </c>
      <c r="I19">
        <v>-74.169002000000006</v>
      </c>
      <c r="J19">
        <f t="shared" si="0"/>
        <v>0</v>
      </c>
      <c r="K19">
        <f t="shared" si="1"/>
        <v>0</v>
      </c>
    </row>
    <row r="20" spans="1:11" hidden="1" x14ac:dyDescent="0.25">
      <c r="A20">
        <v>184</v>
      </c>
      <c r="C20">
        <v>7194864233</v>
      </c>
      <c r="D20">
        <v>0</v>
      </c>
      <c r="E20">
        <v>15</v>
      </c>
      <c r="F20">
        <v>0</v>
      </c>
      <c r="G20">
        <v>15</v>
      </c>
      <c r="H20">
        <v>4.6218310000000002</v>
      </c>
      <c r="I20">
        <v>-74.149185000000003</v>
      </c>
      <c r="J20">
        <f t="shared" si="0"/>
        <v>0</v>
      </c>
      <c r="K20">
        <f t="shared" si="1"/>
        <v>0</v>
      </c>
    </row>
    <row r="21" spans="1:11" hidden="1" x14ac:dyDescent="0.25">
      <c r="A21">
        <v>207</v>
      </c>
      <c r="C21">
        <v>7194868442</v>
      </c>
      <c r="D21">
        <v>0</v>
      </c>
      <c r="E21">
        <v>15</v>
      </c>
      <c r="F21">
        <v>0</v>
      </c>
      <c r="G21">
        <v>15</v>
      </c>
      <c r="H21">
        <v>4.6683339999999998</v>
      </c>
      <c r="I21">
        <v>-74.054243999999997</v>
      </c>
      <c r="J21">
        <f t="shared" si="0"/>
        <v>0</v>
      </c>
      <c r="K21">
        <f t="shared" si="1"/>
        <v>0</v>
      </c>
    </row>
    <row r="22" spans="1:11" hidden="1" x14ac:dyDescent="0.25">
      <c r="A22">
        <v>226</v>
      </c>
      <c r="C22">
        <v>7194865745</v>
      </c>
      <c r="D22">
        <v>0</v>
      </c>
      <c r="E22">
        <v>15</v>
      </c>
      <c r="F22">
        <v>0</v>
      </c>
      <c r="G22">
        <v>15</v>
      </c>
      <c r="H22">
        <v>4.7178550000000001</v>
      </c>
      <c r="I22">
        <v>-74.029747</v>
      </c>
      <c r="J22">
        <f t="shared" si="0"/>
        <v>0</v>
      </c>
      <c r="K22">
        <f t="shared" si="1"/>
        <v>0</v>
      </c>
    </row>
    <row r="23" spans="1:11" hidden="1" x14ac:dyDescent="0.25">
      <c r="A23">
        <v>247</v>
      </c>
      <c r="C23">
        <v>7194867174</v>
      </c>
      <c r="D23">
        <v>0</v>
      </c>
      <c r="E23">
        <v>15</v>
      </c>
      <c r="F23">
        <v>0</v>
      </c>
      <c r="G23">
        <v>15</v>
      </c>
      <c r="H23">
        <v>4.8547000000000002</v>
      </c>
      <c r="I23">
        <v>-74.066468</v>
      </c>
      <c r="J23">
        <f t="shared" si="0"/>
        <v>0</v>
      </c>
      <c r="K23">
        <f t="shared" si="1"/>
        <v>0</v>
      </c>
    </row>
    <row r="24" spans="1:11" hidden="1" x14ac:dyDescent="0.25">
      <c r="A24">
        <v>10</v>
      </c>
      <c r="C24">
        <v>7194869657</v>
      </c>
      <c r="D24">
        <v>16</v>
      </c>
      <c r="E24">
        <v>0</v>
      </c>
      <c r="F24">
        <v>0</v>
      </c>
      <c r="G24">
        <v>16</v>
      </c>
      <c r="H24">
        <v>4.6037100000000004</v>
      </c>
      <c r="I24">
        <v>-74.086907999999994</v>
      </c>
      <c r="J24">
        <f t="shared" si="0"/>
        <v>0</v>
      </c>
      <c r="K24">
        <f t="shared" si="1"/>
        <v>0</v>
      </c>
    </row>
    <row r="25" spans="1:11" hidden="1" x14ac:dyDescent="0.25">
      <c r="A25">
        <v>166</v>
      </c>
      <c r="C25">
        <v>7194866257</v>
      </c>
      <c r="D25">
        <v>16</v>
      </c>
      <c r="E25">
        <v>0</v>
      </c>
      <c r="F25">
        <v>0</v>
      </c>
      <c r="G25">
        <v>16</v>
      </c>
      <c r="H25">
        <v>4.8274879999999998</v>
      </c>
      <c r="I25">
        <v>-74.031227999999999</v>
      </c>
      <c r="J25">
        <f t="shared" si="0"/>
        <v>0</v>
      </c>
      <c r="K25">
        <f t="shared" si="1"/>
        <v>0</v>
      </c>
    </row>
    <row r="26" spans="1:11" hidden="1" x14ac:dyDescent="0.25">
      <c r="A26">
        <v>110</v>
      </c>
      <c r="C26">
        <v>7194803454</v>
      </c>
      <c r="D26">
        <v>17</v>
      </c>
      <c r="E26">
        <v>0</v>
      </c>
      <c r="F26">
        <v>0</v>
      </c>
      <c r="G26">
        <v>17</v>
      </c>
      <c r="H26">
        <v>4.6989919999999996</v>
      </c>
      <c r="I26">
        <v>-74.051118000000002</v>
      </c>
      <c r="J26">
        <f t="shared" si="0"/>
        <v>0</v>
      </c>
      <c r="K26">
        <f t="shared" si="1"/>
        <v>0</v>
      </c>
    </row>
    <row r="27" spans="1:11" hidden="1" x14ac:dyDescent="0.25">
      <c r="A27">
        <v>147</v>
      </c>
      <c r="C27">
        <v>7194830858</v>
      </c>
      <c r="D27">
        <v>18</v>
      </c>
      <c r="E27">
        <v>0</v>
      </c>
      <c r="F27">
        <v>0</v>
      </c>
      <c r="G27">
        <v>18</v>
      </c>
      <c r="H27">
        <v>4.7501499999999997</v>
      </c>
      <c r="I27">
        <v>-74.065482000000003</v>
      </c>
      <c r="J27">
        <f t="shared" si="0"/>
        <v>0</v>
      </c>
      <c r="K27">
        <f t="shared" si="1"/>
        <v>0</v>
      </c>
    </row>
    <row r="28" spans="1:11" hidden="1" x14ac:dyDescent="0.25">
      <c r="A28">
        <v>232</v>
      </c>
      <c r="C28">
        <v>7194865967</v>
      </c>
      <c r="D28">
        <v>0</v>
      </c>
      <c r="E28">
        <v>18</v>
      </c>
      <c r="F28">
        <v>0</v>
      </c>
      <c r="G28">
        <v>18</v>
      </c>
      <c r="H28">
        <v>4.7485499999999998</v>
      </c>
      <c r="I28">
        <v>-74.043736999999993</v>
      </c>
      <c r="J28">
        <f t="shared" si="0"/>
        <v>0</v>
      </c>
      <c r="K28">
        <f t="shared" si="1"/>
        <v>0</v>
      </c>
    </row>
    <row r="29" spans="1:11" hidden="1" x14ac:dyDescent="0.25">
      <c r="A29">
        <v>91</v>
      </c>
      <c r="C29">
        <v>7194865183</v>
      </c>
      <c r="D29">
        <v>19</v>
      </c>
      <c r="E29">
        <v>0</v>
      </c>
      <c r="F29">
        <v>0</v>
      </c>
      <c r="G29">
        <v>19</v>
      </c>
      <c r="H29">
        <v>4.6892630000000004</v>
      </c>
      <c r="I29">
        <v>-74.128377</v>
      </c>
      <c r="J29">
        <f t="shared" si="0"/>
        <v>0</v>
      </c>
      <c r="K29">
        <f t="shared" si="1"/>
        <v>0</v>
      </c>
    </row>
    <row r="30" spans="1:11" hidden="1" x14ac:dyDescent="0.25">
      <c r="A30">
        <v>206</v>
      </c>
      <c r="C30">
        <v>7194866117</v>
      </c>
      <c r="D30">
        <v>0</v>
      </c>
      <c r="E30">
        <v>19</v>
      </c>
      <c r="F30">
        <v>0</v>
      </c>
      <c r="G30">
        <v>19</v>
      </c>
      <c r="H30">
        <v>4.6667490000000003</v>
      </c>
      <c r="I30">
        <v>-74.054530999999997</v>
      </c>
      <c r="J30">
        <f t="shared" si="0"/>
        <v>0</v>
      </c>
      <c r="K30">
        <f t="shared" si="1"/>
        <v>0</v>
      </c>
    </row>
    <row r="31" spans="1:11" hidden="1" x14ac:dyDescent="0.25">
      <c r="A31">
        <v>100</v>
      </c>
      <c r="C31">
        <v>7194864199</v>
      </c>
      <c r="D31">
        <v>20</v>
      </c>
      <c r="E31">
        <v>0</v>
      </c>
      <c r="F31">
        <v>0</v>
      </c>
      <c r="G31">
        <v>20</v>
      </c>
      <c r="H31">
        <v>4.6954330000000004</v>
      </c>
      <c r="I31">
        <v>-74.030552999999998</v>
      </c>
      <c r="J31">
        <f t="shared" si="0"/>
        <v>0</v>
      </c>
      <c r="K31">
        <f t="shared" si="1"/>
        <v>0</v>
      </c>
    </row>
    <row r="32" spans="1:11" hidden="1" x14ac:dyDescent="0.25">
      <c r="A32">
        <v>151</v>
      </c>
      <c r="C32">
        <v>7194851004</v>
      </c>
      <c r="D32">
        <v>20</v>
      </c>
      <c r="E32">
        <v>0</v>
      </c>
      <c r="F32">
        <v>0</v>
      </c>
      <c r="G32">
        <v>20</v>
      </c>
      <c r="H32">
        <v>4.7633460000000003</v>
      </c>
      <c r="I32">
        <v>-74.046232000000003</v>
      </c>
      <c r="J32">
        <f t="shared" si="0"/>
        <v>0</v>
      </c>
      <c r="K32">
        <f t="shared" si="1"/>
        <v>0</v>
      </c>
    </row>
    <row r="33" spans="1:11" hidden="1" x14ac:dyDescent="0.25">
      <c r="A33">
        <v>201</v>
      </c>
      <c r="C33">
        <v>7194850692</v>
      </c>
      <c r="D33">
        <v>0</v>
      </c>
      <c r="E33">
        <v>20</v>
      </c>
      <c r="F33">
        <v>0</v>
      </c>
      <c r="G33">
        <v>20</v>
      </c>
      <c r="H33">
        <v>4.6613889999999998</v>
      </c>
      <c r="I33">
        <v>-74.100898000000001</v>
      </c>
      <c r="J33">
        <f t="shared" si="0"/>
        <v>0</v>
      </c>
      <c r="K33">
        <f t="shared" si="1"/>
        <v>0</v>
      </c>
    </row>
    <row r="34" spans="1:11" hidden="1" x14ac:dyDescent="0.25">
      <c r="A34">
        <v>250</v>
      </c>
      <c r="C34">
        <v>7194864864</v>
      </c>
      <c r="D34">
        <v>0</v>
      </c>
      <c r="E34">
        <v>0</v>
      </c>
      <c r="F34">
        <v>20</v>
      </c>
      <c r="G34">
        <v>20</v>
      </c>
      <c r="H34">
        <v>4.5978690000000002</v>
      </c>
      <c r="I34">
        <v>-74.067409999999995</v>
      </c>
      <c r="J34">
        <f t="shared" si="0"/>
        <v>0</v>
      </c>
      <c r="K34">
        <f t="shared" si="1"/>
        <v>0</v>
      </c>
    </row>
    <row r="35" spans="1:11" hidden="1" x14ac:dyDescent="0.25">
      <c r="A35">
        <v>74</v>
      </c>
      <c r="C35">
        <v>7194815798</v>
      </c>
      <c r="D35">
        <v>21</v>
      </c>
      <c r="E35">
        <v>0</v>
      </c>
      <c r="F35">
        <v>0</v>
      </c>
      <c r="G35">
        <v>21</v>
      </c>
      <c r="H35">
        <v>4.6692640000000001</v>
      </c>
      <c r="I35">
        <v>-74.063890000000001</v>
      </c>
      <c r="J35">
        <f t="shared" si="0"/>
        <v>0</v>
      </c>
      <c r="K35">
        <f t="shared" si="1"/>
        <v>0</v>
      </c>
    </row>
    <row r="36" spans="1:11" hidden="1" x14ac:dyDescent="0.25">
      <c r="A36">
        <v>181</v>
      </c>
      <c r="C36">
        <v>7194826480</v>
      </c>
      <c r="D36">
        <v>0</v>
      </c>
      <c r="E36">
        <v>21</v>
      </c>
      <c r="F36">
        <v>0</v>
      </c>
      <c r="G36">
        <v>21</v>
      </c>
      <c r="H36">
        <v>4.6068290000000003</v>
      </c>
      <c r="I36">
        <v>-74.217431000000005</v>
      </c>
      <c r="J36">
        <f t="shared" si="0"/>
        <v>0</v>
      </c>
      <c r="K36">
        <f t="shared" si="1"/>
        <v>0</v>
      </c>
    </row>
    <row r="37" spans="1:11" hidden="1" x14ac:dyDescent="0.25">
      <c r="A37">
        <v>211</v>
      </c>
      <c r="C37">
        <v>7194864908</v>
      </c>
      <c r="D37">
        <v>0</v>
      </c>
      <c r="E37">
        <v>21</v>
      </c>
      <c r="F37">
        <v>0</v>
      </c>
      <c r="G37">
        <v>21</v>
      </c>
      <c r="H37">
        <v>4.6743290000000002</v>
      </c>
      <c r="I37">
        <v>-74.070690999999997</v>
      </c>
      <c r="J37">
        <f t="shared" si="0"/>
        <v>0</v>
      </c>
      <c r="K37">
        <f t="shared" si="1"/>
        <v>0</v>
      </c>
    </row>
    <row r="38" spans="1:11" hidden="1" x14ac:dyDescent="0.25">
      <c r="A38">
        <v>255</v>
      </c>
      <c r="C38">
        <v>7194860803</v>
      </c>
      <c r="D38">
        <v>0</v>
      </c>
      <c r="E38">
        <v>0</v>
      </c>
      <c r="F38">
        <v>21</v>
      </c>
      <c r="G38">
        <v>21</v>
      </c>
      <c r="H38">
        <v>4.7433290000000001</v>
      </c>
      <c r="I38">
        <v>-74.042948999999993</v>
      </c>
      <c r="J38">
        <f t="shared" si="0"/>
        <v>0</v>
      </c>
      <c r="K38">
        <f t="shared" si="1"/>
        <v>0</v>
      </c>
    </row>
    <row r="39" spans="1:11" hidden="1" x14ac:dyDescent="0.25">
      <c r="A39">
        <v>198</v>
      </c>
      <c r="C39">
        <v>7194815397</v>
      </c>
      <c r="D39">
        <v>0</v>
      </c>
      <c r="E39">
        <v>22</v>
      </c>
      <c r="F39">
        <v>0</v>
      </c>
      <c r="G39">
        <v>22</v>
      </c>
      <c r="H39">
        <v>4.654363</v>
      </c>
      <c r="I39">
        <v>-74.055813000000001</v>
      </c>
      <c r="J39">
        <f t="shared" si="0"/>
        <v>0</v>
      </c>
      <c r="K39">
        <f t="shared" si="1"/>
        <v>0</v>
      </c>
    </row>
    <row r="40" spans="1:11" hidden="1" x14ac:dyDescent="0.25">
      <c r="A40">
        <v>41</v>
      </c>
      <c r="C40">
        <v>7194858484</v>
      </c>
      <c r="D40">
        <v>24</v>
      </c>
      <c r="E40">
        <v>0</v>
      </c>
      <c r="F40">
        <v>0</v>
      </c>
      <c r="G40">
        <v>24</v>
      </c>
      <c r="H40">
        <v>4.6390440000000002</v>
      </c>
      <c r="I40">
        <v>-74.098243999999994</v>
      </c>
      <c r="J40">
        <f t="shared" si="0"/>
        <v>0</v>
      </c>
      <c r="K40">
        <f t="shared" si="1"/>
        <v>0</v>
      </c>
    </row>
    <row r="41" spans="1:11" hidden="1" x14ac:dyDescent="0.25">
      <c r="A41">
        <v>68</v>
      </c>
      <c r="C41">
        <v>7194858213</v>
      </c>
      <c r="D41">
        <v>24</v>
      </c>
      <c r="E41">
        <v>0</v>
      </c>
      <c r="F41">
        <v>0</v>
      </c>
      <c r="G41">
        <v>24</v>
      </c>
      <c r="H41">
        <v>4.6637050000000002</v>
      </c>
      <c r="I41">
        <v>-74.049415999999994</v>
      </c>
      <c r="J41">
        <f t="shared" si="0"/>
        <v>0</v>
      </c>
      <c r="K41">
        <f t="shared" si="1"/>
        <v>0</v>
      </c>
    </row>
    <row r="42" spans="1:11" hidden="1" x14ac:dyDescent="0.25">
      <c r="A42">
        <v>258</v>
      </c>
      <c r="C42">
        <v>7194864836</v>
      </c>
      <c r="D42">
        <v>0</v>
      </c>
      <c r="E42">
        <v>0</v>
      </c>
      <c r="F42">
        <v>24</v>
      </c>
      <c r="G42">
        <v>24</v>
      </c>
      <c r="H42">
        <v>4.7928990000000002</v>
      </c>
      <c r="I42">
        <v>-74.076076999999998</v>
      </c>
      <c r="J42">
        <f t="shared" si="0"/>
        <v>0</v>
      </c>
      <c r="K42">
        <f t="shared" si="1"/>
        <v>0</v>
      </c>
    </row>
    <row r="43" spans="1:11" hidden="1" x14ac:dyDescent="0.25">
      <c r="A43">
        <v>111</v>
      </c>
      <c r="C43">
        <v>7194698430</v>
      </c>
      <c r="D43">
        <v>25</v>
      </c>
      <c r="E43">
        <v>0</v>
      </c>
      <c r="F43">
        <v>0</v>
      </c>
      <c r="G43">
        <v>25</v>
      </c>
      <c r="H43">
        <v>4.6990439999999998</v>
      </c>
      <c r="I43">
        <v>-74.140962999999999</v>
      </c>
      <c r="J43">
        <f t="shared" si="0"/>
        <v>0</v>
      </c>
      <c r="K43">
        <f t="shared" si="1"/>
        <v>0</v>
      </c>
    </row>
    <row r="44" spans="1:11" hidden="1" x14ac:dyDescent="0.25">
      <c r="A44">
        <v>202</v>
      </c>
      <c r="C44">
        <v>7194823787</v>
      </c>
      <c r="D44">
        <v>0</v>
      </c>
      <c r="E44">
        <v>25</v>
      </c>
      <c r="F44">
        <v>0</v>
      </c>
      <c r="G44">
        <v>25</v>
      </c>
      <c r="H44">
        <v>4.6620280000000003</v>
      </c>
      <c r="I44">
        <v>-74.080489999999998</v>
      </c>
      <c r="J44">
        <f t="shared" si="0"/>
        <v>0</v>
      </c>
      <c r="K44">
        <f t="shared" si="1"/>
        <v>0</v>
      </c>
    </row>
    <row r="45" spans="1:11" hidden="1" x14ac:dyDescent="0.25">
      <c r="A45">
        <v>231</v>
      </c>
      <c r="C45">
        <v>7194816240</v>
      </c>
      <c r="D45">
        <v>0</v>
      </c>
      <c r="E45">
        <v>28</v>
      </c>
      <c r="F45">
        <v>0</v>
      </c>
      <c r="G45">
        <v>28</v>
      </c>
      <c r="H45">
        <v>4.74803</v>
      </c>
      <c r="I45">
        <v>-74.162796</v>
      </c>
      <c r="J45">
        <f t="shared" si="0"/>
        <v>0</v>
      </c>
      <c r="K45">
        <f t="shared" si="1"/>
        <v>0</v>
      </c>
    </row>
    <row r="46" spans="1:11" hidden="1" x14ac:dyDescent="0.25">
      <c r="A46">
        <v>199</v>
      </c>
      <c r="C46">
        <v>7194851496</v>
      </c>
      <c r="D46">
        <v>0</v>
      </c>
      <c r="E46">
        <v>29</v>
      </c>
      <c r="F46">
        <v>0</v>
      </c>
      <c r="G46">
        <v>29</v>
      </c>
      <c r="H46">
        <v>4.6575600000000001</v>
      </c>
      <c r="I46">
        <v>-74.056760999999995</v>
      </c>
      <c r="J46">
        <f t="shared" si="0"/>
        <v>0</v>
      </c>
      <c r="K46">
        <f t="shared" si="1"/>
        <v>0</v>
      </c>
    </row>
    <row r="47" spans="1:11" hidden="1" x14ac:dyDescent="0.25">
      <c r="A47">
        <v>233</v>
      </c>
      <c r="C47">
        <v>7194868151</v>
      </c>
      <c r="D47">
        <v>0</v>
      </c>
      <c r="E47">
        <v>29</v>
      </c>
      <c r="F47">
        <v>0</v>
      </c>
      <c r="G47">
        <v>29</v>
      </c>
      <c r="H47">
        <v>4.7494779999999999</v>
      </c>
      <c r="I47">
        <v>-74.038182000000006</v>
      </c>
      <c r="J47">
        <f t="shared" si="0"/>
        <v>0</v>
      </c>
      <c r="K47">
        <f t="shared" si="1"/>
        <v>0</v>
      </c>
    </row>
    <row r="48" spans="1:11" hidden="1" x14ac:dyDescent="0.25">
      <c r="A48">
        <v>173</v>
      </c>
      <c r="C48">
        <v>7194859863</v>
      </c>
      <c r="D48">
        <v>0</v>
      </c>
      <c r="E48">
        <v>30</v>
      </c>
      <c r="F48">
        <v>0</v>
      </c>
      <c r="G48">
        <v>30</v>
      </c>
      <c r="H48">
        <v>4.5809059999999997</v>
      </c>
      <c r="I48">
        <v>-74.126936999999998</v>
      </c>
      <c r="J48">
        <f t="shared" si="0"/>
        <v>0</v>
      </c>
      <c r="K48">
        <f t="shared" si="1"/>
        <v>0</v>
      </c>
    </row>
    <row r="49" spans="1:11" hidden="1" x14ac:dyDescent="0.25">
      <c r="A49">
        <v>192</v>
      </c>
      <c r="C49">
        <v>7194822919</v>
      </c>
      <c r="D49">
        <v>0</v>
      </c>
      <c r="E49">
        <v>34</v>
      </c>
      <c r="F49">
        <v>0</v>
      </c>
      <c r="G49">
        <v>34</v>
      </c>
      <c r="H49">
        <v>4.6410039999999997</v>
      </c>
      <c r="I49">
        <v>-74.117482999999993</v>
      </c>
      <c r="J49">
        <f t="shared" si="0"/>
        <v>0</v>
      </c>
      <c r="K49">
        <f t="shared" si="1"/>
        <v>0</v>
      </c>
    </row>
    <row r="50" spans="1:11" hidden="1" x14ac:dyDescent="0.25">
      <c r="A50">
        <v>228</v>
      </c>
      <c r="C50">
        <v>7194867901</v>
      </c>
      <c r="D50">
        <v>0</v>
      </c>
      <c r="E50">
        <v>34</v>
      </c>
      <c r="F50">
        <v>0</v>
      </c>
      <c r="G50">
        <v>34</v>
      </c>
      <c r="H50">
        <v>4.7321489999999997</v>
      </c>
      <c r="I50">
        <v>-74.040616</v>
      </c>
      <c r="J50">
        <f t="shared" si="0"/>
        <v>0</v>
      </c>
      <c r="K50">
        <f t="shared" si="1"/>
        <v>0</v>
      </c>
    </row>
    <row r="51" spans="1:11" hidden="1" x14ac:dyDescent="0.25">
      <c r="A51">
        <v>205</v>
      </c>
      <c r="C51">
        <v>7194799842</v>
      </c>
      <c r="D51">
        <v>0</v>
      </c>
      <c r="E51">
        <v>36</v>
      </c>
      <c r="F51">
        <v>0</v>
      </c>
      <c r="G51">
        <v>36</v>
      </c>
      <c r="H51">
        <v>4.6663709999999998</v>
      </c>
      <c r="I51">
        <v>-74.052642000000006</v>
      </c>
      <c r="J51">
        <f t="shared" si="0"/>
        <v>0</v>
      </c>
      <c r="K51">
        <f t="shared" si="1"/>
        <v>0</v>
      </c>
    </row>
    <row r="52" spans="1:11" hidden="1" x14ac:dyDescent="0.25">
      <c r="A52">
        <v>239</v>
      </c>
      <c r="C52">
        <v>7194820452</v>
      </c>
      <c r="D52">
        <v>0</v>
      </c>
      <c r="E52">
        <v>37</v>
      </c>
      <c r="F52">
        <v>0</v>
      </c>
      <c r="G52">
        <v>37</v>
      </c>
      <c r="H52">
        <v>4.7607419999999996</v>
      </c>
      <c r="I52">
        <v>-74.059270999999995</v>
      </c>
      <c r="J52">
        <f t="shared" si="0"/>
        <v>0</v>
      </c>
      <c r="K52">
        <f t="shared" si="1"/>
        <v>0</v>
      </c>
    </row>
    <row r="53" spans="1:11" hidden="1" x14ac:dyDescent="0.25">
      <c r="A53">
        <v>204</v>
      </c>
      <c r="C53">
        <v>7194871417</v>
      </c>
      <c r="D53">
        <v>0</v>
      </c>
      <c r="E53">
        <v>40</v>
      </c>
      <c r="F53">
        <v>0</v>
      </c>
      <c r="G53">
        <v>40</v>
      </c>
      <c r="H53">
        <v>4.6663079999999999</v>
      </c>
      <c r="I53">
        <v>-74.055583999999996</v>
      </c>
      <c r="J53">
        <f t="shared" si="0"/>
        <v>0</v>
      </c>
      <c r="K53">
        <f t="shared" si="1"/>
        <v>0</v>
      </c>
    </row>
    <row r="54" spans="1:11" hidden="1" x14ac:dyDescent="0.25">
      <c r="A54">
        <v>153</v>
      </c>
      <c r="C54">
        <v>7194866071</v>
      </c>
      <c r="D54">
        <v>43</v>
      </c>
      <c r="E54">
        <v>0</v>
      </c>
      <c r="F54">
        <v>0</v>
      </c>
      <c r="G54">
        <v>43</v>
      </c>
      <c r="H54">
        <v>4.7706790000000003</v>
      </c>
      <c r="I54">
        <v>-74.041309999999996</v>
      </c>
      <c r="J54">
        <f t="shared" si="0"/>
        <v>0</v>
      </c>
      <c r="K54">
        <f t="shared" si="1"/>
        <v>0</v>
      </c>
    </row>
    <row r="55" spans="1:11" hidden="1" x14ac:dyDescent="0.25">
      <c r="A55">
        <v>238</v>
      </c>
      <c r="C55">
        <v>7194866498</v>
      </c>
      <c r="D55">
        <v>0</v>
      </c>
      <c r="E55">
        <v>43</v>
      </c>
      <c r="F55">
        <v>0</v>
      </c>
      <c r="G55">
        <v>43</v>
      </c>
      <c r="H55">
        <v>4.7594339999999997</v>
      </c>
      <c r="I55">
        <v>-74.151770999999997</v>
      </c>
      <c r="J55">
        <f t="shared" si="0"/>
        <v>0</v>
      </c>
      <c r="K55">
        <f t="shared" si="1"/>
        <v>0</v>
      </c>
    </row>
    <row r="56" spans="1:11" hidden="1" x14ac:dyDescent="0.25">
      <c r="A56">
        <v>195</v>
      </c>
      <c r="C56">
        <v>7194864049</v>
      </c>
      <c r="D56">
        <v>0</v>
      </c>
      <c r="E56">
        <v>46</v>
      </c>
      <c r="F56">
        <v>0</v>
      </c>
      <c r="G56">
        <v>46</v>
      </c>
      <c r="H56">
        <v>4.6488040000000002</v>
      </c>
      <c r="I56">
        <v>-74.056793999999996</v>
      </c>
      <c r="J56">
        <f t="shared" si="0"/>
        <v>0</v>
      </c>
      <c r="K56">
        <f t="shared" si="1"/>
        <v>0</v>
      </c>
    </row>
    <row r="57" spans="1:11" hidden="1" x14ac:dyDescent="0.25">
      <c r="A57">
        <v>197</v>
      </c>
      <c r="C57">
        <v>7194869932</v>
      </c>
      <c r="D57">
        <v>0</v>
      </c>
      <c r="E57">
        <v>48</v>
      </c>
      <c r="F57">
        <v>0</v>
      </c>
      <c r="G57">
        <v>48</v>
      </c>
      <c r="H57">
        <v>4.6535390000000003</v>
      </c>
      <c r="I57">
        <v>-74.054803000000007</v>
      </c>
      <c r="J57">
        <f t="shared" si="0"/>
        <v>0</v>
      </c>
      <c r="K57">
        <f t="shared" si="1"/>
        <v>0</v>
      </c>
    </row>
    <row r="58" spans="1:11" hidden="1" x14ac:dyDescent="0.25">
      <c r="A58">
        <v>208</v>
      </c>
      <c r="C58">
        <v>7194815861</v>
      </c>
      <c r="D58">
        <v>0</v>
      </c>
      <c r="E58">
        <v>49</v>
      </c>
      <c r="F58">
        <v>0</v>
      </c>
      <c r="G58">
        <v>49</v>
      </c>
      <c r="H58">
        <v>4.6692640000000001</v>
      </c>
      <c r="I58">
        <v>-74.063890000000001</v>
      </c>
      <c r="J58">
        <f t="shared" si="0"/>
        <v>0</v>
      </c>
      <c r="K58">
        <f t="shared" si="1"/>
        <v>0</v>
      </c>
    </row>
    <row r="59" spans="1:11" hidden="1" x14ac:dyDescent="0.25">
      <c r="A59">
        <v>122</v>
      </c>
      <c r="C59">
        <v>7194858223</v>
      </c>
      <c r="D59">
        <v>50</v>
      </c>
      <c r="E59">
        <v>0</v>
      </c>
      <c r="F59">
        <v>0</v>
      </c>
      <c r="G59">
        <v>50</v>
      </c>
      <c r="H59">
        <v>4.7086629999999996</v>
      </c>
      <c r="I59">
        <v>-74.041647999999995</v>
      </c>
      <c r="J59">
        <f t="shared" si="0"/>
        <v>0</v>
      </c>
      <c r="K59">
        <f t="shared" si="1"/>
        <v>0</v>
      </c>
    </row>
    <row r="60" spans="1:11" hidden="1" x14ac:dyDescent="0.25">
      <c r="A60">
        <v>176</v>
      </c>
      <c r="C60">
        <v>7194863991</v>
      </c>
      <c r="D60">
        <v>0</v>
      </c>
      <c r="E60">
        <v>51</v>
      </c>
      <c r="F60">
        <v>0</v>
      </c>
      <c r="G60">
        <v>51</v>
      </c>
      <c r="H60">
        <v>4.5965490000000004</v>
      </c>
      <c r="I60">
        <v>-74.067682000000005</v>
      </c>
      <c r="J60">
        <f t="shared" si="0"/>
        <v>0</v>
      </c>
      <c r="K60">
        <f t="shared" si="1"/>
        <v>0</v>
      </c>
    </row>
    <row r="61" spans="1:11" hidden="1" x14ac:dyDescent="0.25">
      <c r="A61">
        <v>203</v>
      </c>
      <c r="C61">
        <v>7194821290</v>
      </c>
      <c r="D61">
        <v>0</v>
      </c>
      <c r="E61">
        <v>54</v>
      </c>
      <c r="F61">
        <v>0</v>
      </c>
      <c r="G61">
        <v>54</v>
      </c>
      <c r="H61">
        <v>4.6637930000000001</v>
      </c>
      <c r="I61">
        <v>-74.072248999999999</v>
      </c>
      <c r="J61">
        <f t="shared" si="0"/>
        <v>0</v>
      </c>
      <c r="K61">
        <f t="shared" si="1"/>
        <v>0</v>
      </c>
    </row>
    <row r="62" spans="1:11" hidden="1" x14ac:dyDescent="0.25">
      <c r="A62">
        <v>252</v>
      </c>
      <c r="C62">
        <v>7194856815</v>
      </c>
      <c r="D62">
        <v>0</v>
      </c>
      <c r="E62">
        <v>0</v>
      </c>
      <c r="F62">
        <v>54</v>
      </c>
      <c r="G62">
        <v>54</v>
      </c>
      <c r="H62">
        <v>4.6314650000000004</v>
      </c>
      <c r="I62">
        <v>-74.155158999999998</v>
      </c>
      <c r="J62">
        <f t="shared" si="0"/>
        <v>0</v>
      </c>
      <c r="K62">
        <f t="shared" si="1"/>
        <v>0</v>
      </c>
    </row>
    <row r="63" spans="1:11" hidden="1" x14ac:dyDescent="0.25">
      <c r="A63">
        <v>243</v>
      </c>
      <c r="C63">
        <v>7194865234</v>
      </c>
      <c r="D63">
        <v>0</v>
      </c>
      <c r="E63">
        <v>62</v>
      </c>
      <c r="F63">
        <v>0</v>
      </c>
      <c r="G63">
        <v>62</v>
      </c>
      <c r="H63">
        <v>4.7733090000000002</v>
      </c>
      <c r="I63">
        <v>-74.052640999999994</v>
      </c>
      <c r="J63">
        <f t="shared" si="0"/>
        <v>0</v>
      </c>
      <c r="K63">
        <f t="shared" si="1"/>
        <v>0</v>
      </c>
    </row>
    <row r="64" spans="1:11" hidden="1" x14ac:dyDescent="0.25">
      <c r="A64">
        <v>236</v>
      </c>
      <c r="C64">
        <v>7194867814</v>
      </c>
      <c r="D64">
        <v>0</v>
      </c>
      <c r="E64">
        <v>66</v>
      </c>
      <c r="F64">
        <v>0</v>
      </c>
      <c r="G64">
        <v>66</v>
      </c>
      <c r="H64">
        <v>4.7506029999999999</v>
      </c>
      <c r="I64">
        <v>-74.044379000000006</v>
      </c>
      <c r="J64">
        <f t="shared" si="0"/>
        <v>0</v>
      </c>
      <c r="K64">
        <f t="shared" si="1"/>
        <v>0</v>
      </c>
    </row>
    <row r="65" spans="1:11" hidden="1" x14ac:dyDescent="0.25">
      <c r="A65">
        <v>139</v>
      </c>
      <c r="C65">
        <v>7194863828</v>
      </c>
      <c r="D65">
        <v>69</v>
      </c>
      <c r="E65">
        <v>0</v>
      </c>
      <c r="F65">
        <v>0</v>
      </c>
      <c r="G65">
        <v>69</v>
      </c>
      <c r="H65">
        <v>4.7376110000000002</v>
      </c>
      <c r="I65">
        <v>-74.029437000000001</v>
      </c>
      <c r="J65">
        <f t="shared" si="0"/>
        <v>0</v>
      </c>
      <c r="K65">
        <f t="shared" si="1"/>
        <v>0</v>
      </c>
    </row>
    <row r="66" spans="1:11" hidden="1" x14ac:dyDescent="0.25">
      <c r="A66">
        <v>222</v>
      </c>
      <c r="C66">
        <v>7194858393</v>
      </c>
      <c r="D66">
        <v>0</v>
      </c>
      <c r="E66">
        <v>79</v>
      </c>
      <c r="F66">
        <v>0</v>
      </c>
      <c r="G66">
        <v>79</v>
      </c>
      <c r="H66">
        <v>4.7086629999999996</v>
      </c>
      <c r="I66">
        <v>-74.041647999999995</v>
      </c>
      <c r="J66">
        <f t="shared" ref="J66:J129" si="2">IF(AND(D66&gt;=1,E66&gt;=1,F66&gt;=1),1,0)</f>
        <v>0</v>
      </c>
      <c r="K66">
        <f t="shared" ref="K66:K129" si="3">IF((D66&gt;=1)+(E66&gt;=1)+(F66&gt;=1)&gt;=2,1,0)</f>
        <v>0</v>
      </c>
    </row>
    <row r="67" spans="1:11" hidden="1" x14ac:dyDescent="0.25">
      <c r="A67">
        <v>85</v>
      </c>
      <c r="C67">
        <v>7194790334</v>
      </c>
      <c r="D67">
        <v>80</v>
      </c>
      <c r="E67">
        <v>0</v>
      </c>
      <c r="F67">
        <v>0</v>
      </c>
      <c r="G67">
        <v>80</v>
      </c>
      <c r="H67">
        <v>4.6810679999999998</v>
      </c>
      <c r="I67">
        <v>-74.068145000000001</v>
      </c>
      <c r="J67">
        <f t="shared" si="2"/>
        <v>0</v>
      </c>
      <c r="K67">
        <f t="shared" si="3"/>
        <v>0</v>
      </c>
    </row>
    <row r="68" spans="1:11" hidden="1" x14ac:dyDescent="0.25">
      <c r="A68">
        <v>244</v>
      </c>
      <c r="C68">
        <v>7194859761</v>
      </c>
      <c r="D68">
        <v>0</v>
      </c>
      <c r="E68">
        <v>81</v>
      </c>
      <c r="F68">
        <v>0</v>
      </c>
      <c r="G68">
        <v>81</v>
      </c>
      <c r="H68">
        <v>4.780259</v>
      </c>
      <c r="I68">
        <v>-74.183404999999993</v>
      </c>
      <c r="J68">
        <f t="shared" si="2"/>
        <v>0</v>
      </c>
      <c r="K68">
        <f t="shared" si="3"/>
        <v>0</v>
      </c>
    </row>
    <row r="69" spans="1:11" hidden="1" x14ac:dyDescent="0.25">
      <c r="A69">
        <v>177</v>
      </c>
      <c r="C69">
        <v>7194837633</v>
      </c>
      <c r="D69">
        <v>0</v>
      </c>
      <c r="E69">
        <v>83</v>
      </c>
      <c r="F69">
        <v>0</v>
      </c>
      <c r="G69">
        <v>83</v>
      </c>
      <c r="H69">
        <v>4.599316</v>
      </c>
      <c r="I69">
        <v>-74.166004999999998</v>
      </c>
      <c r="J69">
        <f t="shared" si="2"/>
        <v>0</v>
      </c>
      <c r="K69">
        <f t="shared" si="3"/>
        <v>0</v>
      </c>
    </row>
    <row r="70" spans="1:11" hidden="1" x14ac:dyDescent="0.25">
      <c r="A70">
        <v>18</v>
      </c>
      <c r="C70">
        <v>7194864228</v>
      </c>
      <c r="D70">
        <v>89</v>
      </c>
      <c r="E70">
        <v>0</v>
      </c>
      <c r="F70">
        <v>0</v>
      </c>
      <c r="G70">
        <v>89</v>
      </c>
      <c r="H70">
        <v>4.6192159999999998</v>
      </c>
      <c r="I70">
        <v>-74.138248000000004</v>
      </c>
      <c r="J70">
        <f t="shared" si="2"/>
        <v>0</v>
      </c>
      <c r="K70">
        <f t="shared" si="3"/>
        <v>0</v>
      </c>
    </row>
    <row r="71" spans="1:11" hidden="1" x14ac:dyDescent="0.25">
      <c r="A71">
        <v>191</v>
      </c>
      <c r="C71">
        <v>7194867276</v>
      </c>
      <c r="D71">
        <v>0</v>
      </c>
      <c r="E71">
        <v>96</v>
      </c>
      <c r="F71">
        <v>0</v>
      </c>
      <c r="G71">
        <v>96</v>
      </c>
      <c r="H71">
        <v>4.6367029999999998</v>
      </c>
      <c r="I71">
        <v>-74.115410999999995</v>
      </c>
      <c r="J71">
        <f t="shared" si="2"/>
        <v>0</v>
      </c>
      <c r="K71">
        <f t="shared" si="3"/>
        <v>0</v>
      </c>
    </row>
    <row r="72" spans="1:11" hidden="1" x14ac:dyDescent="0.25">
      <c r="A72">
        <v>56</v>
      </c>
      <c r="C72">
        <v>7194864883</v>
      </c>
      <c r="D72">
        <v>100</v>
      </c>
      <c r="E72">
        <v>0</v>
      </c>
      <c r="F72">
        <v>0</v>
      </c>
      <c r="G72">
        <v>100</v>
      </c>
      <c r="H72">
        <v>4.6545730000000001</v>
      </c>
      <c r="I72">
        <v>-74.077443000000002</v>
      </c>
      <c r="J72">
        <f t="shared" si="2"/>
        <v>0</v>
      </c>
      <c r="K72">
        <f t="shared" si="3"/>
        <v>0</v>
      </c>
    </row>
    <row r="73" spans="1:11" hidden="1" x14ac:dyDescent="0.25">
      <c r="A73">
        <v>158</v>
      </c>
      <c r="C73">
        <v>7194865180</v>
      </c>
      <c r="D73">
        <v>102</v>
      </c>
      <c r="E73">
        <v>0</v>
      </c>
      <c r="F73">
        <v>0</v>
      </c>
      <c r="G73">
        <v>102</v>
      </c>
      <c r="H73">
        <v>4.7928990000000002</v>
      </c>
      <c r="I73">
        <v>-74.076076999999998</v>
      </c>
      <c r="J73">
        <f t="shared" si="2"/>
        <v>0</v>
      </c>
      <c r="K73">
        <f t="shared" si="3"/>
        <v>0</v>
      </c>
    </row>
    <row r="74" spans="1:11" hidden="1" x14ac:dyDescent="0.25">
      <c r="A74">
        <v>190</v>
      </c>
      <c r="C74">
        <v>7194822354</v>
      </c>
      <c r="D74">
        <v>0</v>
      </c>
      <c r="E74">
        <v>102</v>
      </c>
      <c r="F74">
        <v>0</v>
      </c>
      <c r="G74">
        <v>102</v>
      </c>
      <c r="H74">
        <v>4.6354689999999996</v>
      </c>
      <c r="I74">
        <v>-74.118594999999999</v>
      </c>
      <c r="J74">
        <f t="shared" si="2"/>
        <v>0</v>
      </c>
      <c r="K74">
        <f t="shared" si="3"/>
        <v>0</v>
      </c>
    </row>
    <row r="75" spans="1:11" hidden="1" x14ac:dyDescent="0.25">
      <c r="A75">
        <v>227</v>
      </c>
      <c r="C75">
        <v>7194841036</v>
      </c>
      <c r="D75">
        <v>0</v>
      </c>
      <c r="E75">
        <v>103</v>
      </c>
      <c r="F75">
        <v>0</v>
      </c>
      <c r="G75">
        <v>103</v>
      </c>
      <c r="H75">
        <v>4.7227079999999999</v>
      </c>
      <c r="I75">
        <v>-74.195496000000006</v>
      </c>
      <c r="J75">
        <f t="shared" si="2"/>
        <v>0</v>
      </c>
      <c r="K75">
        <f t="shared" si="3"/>
        <v>0</v>
      </c>
    </row>
    <row r="76" spans="1:11" hidden="1" x14ac:dyDescent="0.25">
      <c r="A76">
        <v>237</v>
      </c>
      <c r="C76">
        <v>7194831426</v>
      </c>
      <c r="D76">
        <v>0</v>
      </c>
      <c r="E76">
        <v>103</v>
      </c>
      <c r="F76">
        <v>0</v>
      </c>
      <c r="G76">
        <v>103</v>
      </c>
      <c r="H76">
        <v>4.7573309999999998</v>
      </c>
      <c r="I76">
        <v>-74.137720999999999</v>
      </c>
      <c r="J76">
        <f t="shared" si="2"/>
        <v>0</v>
      </c>
      <c r="K76">
        <f t="shared" si="3"/>
        <v>0</v>
      </c>
    </row>
    <row r="77" spans="1:11" hidden="1" x14ac:dyDescent="0.25">
      <c r="A77">
        <v>165</v>
      </c>
      <c r="C77">
        <v>7194862998</v>
      </c>
      <c r="D77">
        <v>105</v>
      </c>
      <c r="E77">
        <v>0</v>
      </c>
      <c r="F77">
        <v>0</v>
      </c>
      <c r="G77">
        <v>105</v>
      </c>
      <c r="H77">
        <v>4.807976</v>
      </c>
      <c r="I77">
        <v>-74.069312999999994</v>
      </c>
      <c r="J77">
        <f t="shared" si="2"/>
        <v>0</v>
      </c>
      <c r="K77">
        <f t="shared" si="3"/>
        <v>0</v>
      </c>
    </row>
    <row r="78" spans="1:11" hidden="1" x14ac:dyDescent="0.25">
      <c r="A78">
        <v>209</v>
      </c>
      <c r="C78">
        <v>7194860268</v>
      </c>
      <c r="D78">
        <v>0</v>
      </c>
      <c r="E78">
        <v>114</v>
      </c>
      <c r="F78">
        <v>0</v>
      </c>
      <c r="G78">
        <v>114</v>
      </c>
      <c r="H78">
        <v>4.6697329999999999</v>
      </c>
      <c r="I78">
        <v>-74.056324000000004</v>
      </c>
      <c r="J78">
        <f t="shared" si="2"/>
        <v>0</v>
      </c>
      <c r="K78">
        <f t="shared" si="3"/>
        <v>0</v>
      </c>
    </row>
    <row r="79" spans="1:11" hidden="1" x14ac:dyDescent="0.25">
      <c r="A79">
        <v>196</v>
      </c>
      <c r="C79">
        <v>7194838136</v>
      </c>
      <c r="D79">
        <v>0</v>
      </c>
      <c r="E79">
        <v>132</v>
      </c>
      <c r="F79">
        <v>0</v>
      </c>
      <c r="G79">
        <v>132</v>
      </c>
      <c r="H79">
        <v>4.6515959999999996</v>
      </c>
      <c r="I79">
        <v>-74.106772000000007</v>
      </c>
      <c r="J79">
        <f t="shared" si="2"/>
        <v>0</v>
      </c>
      <c r="K79">
        <f t="shared" si="3"/>
        <v>0</v>
      </c>
    </row>
    <row r="80" spans="1:11" hidden="1" x14ac:dyDescent="0.25">
      <c r="A80">
        <v>178</v>
      </c>
      <c r="C80">
        <v>7194855908</v>
      </c>
      <c r="D80">
        <v>0</v>
      </c>
      <c r="E80">
        <v>144</v>
      </c>
      <c r="F80">
        <v>0</v>
      </c>
      <c r="G80">
        <v>144</v>
      </c>
      <c r="H80">
        <v>4.5996969999999999</v>
      </c>
      <c r="I80">
        <v>-74.123440000000002</v>
      </c>
      <c r="J80">
        <f t="shared" si="2"/>
        <v>0</v>
      </c>
      <c r="K80">
        <f t="shared" si="3"/>
        <v>0</v>
      </c>
    </row>
    <row r="81" spans="1:11" hidden="1" x14ac:dyDescent="0.25">
      <c r="A81">
        <v>241</v>
      </c>
      <c r="C81">
        <v>7194842188</v>
      </c>
      <c r="D81">
        <v>0</v>
      </c>
      <c r="E81">
        <v>145</v>
      </c>
      <c r="F81">
        <v>0</v>
      </c>
      <c r="G81">
        <v>145</v>
      </c>
      <c r="H81">
        <v>4.764716</v>
      </c>
      <c r="I81">
        <v>-74.178808000000004</v>
      </c>
      <c r="J81">
        <f t="shared" si="2"/>
        <v>0</v>
      </c>
      <c r="K81">
        <f t="shared" si="3"/>
        <v>0</v>
      </c>
    </row>
    <row r="82" spans="1:11" hidden="1" x14ac:dyDescent="0.25">
      <c r="A82">
        <v>210</v>
      </c>
      <c r="C82">
        <v>7194869925</v>
      </c>
      <c r="D82">
        <v>0</v>
      </c>
      <c r="E82">
        <v>148</v>
      </c>
      <c r="F82">
        <v>0</v>
      </c>
      <c r="G82">
        <v>148</v>
      </c>
      <c r="H82">
        <v>4.6703450000000002</v>
      </c>
      <c r="I82">
        <v>-74.084894000000006</v>
      </c>
      <c r="J82">
        <f t="shared" si="2"/>
        <v>0</v>
      </c>
      <c r="K82">
        <f t="shared" si="3"/>
        <v>0</v>
      </c>
    </row>
    <row r="83" spans="1:11" hidden="1" x14ac:dyDescent="0.25">
      <c r="A83">
        <v>172</v>
      </c>
      <c r="C83">
        <v>7194819453</v>
      </c>
      <c r="D83">
        <v>0</v>
      </c>
      <c r="E83">
        <v>151</v>
      </c>
      <c r="F83">
        <v>0</v>
      </c>
      <c r="G83">
        <v>151</v>
      </c>
      <c r="H83">
        <v>4.5577030000000001</v>
      </c>
      <c r="I83">
        <v>-74.234187000000006</v>
      </c>
      <c r="J83">
        <f t="shared" si="2"/>
        <v>0</v>
      </c>
      <c r="K83">
        <f t="shared" si="3"/>
        <v>0</v>
      </c>
    </row>
    <row r="84" spans="1:11" hidden="1" x14ac:dyDescent="0.25">
      <c r="A84">
        <v>194</v>
      </c>
      <c r="C84">
        <v>7194867305</v>
      </c>
      <c r="D84">
        <v>0</v>
      </c>
      <c r="E84">
        <v>155</v>
      </c>
      <c r="F84">
        <v>0</v>
      </c>
      <c r="G84">
        <v>155</v>
      </c>
      <c r="H84">
        <v>4.6451510000000003</v>
      </c>
      <c r="I84">
        <v>-74.099777000000003</v>
      </c>
      <c r="J84">
        <f t="shared" si="2"/>
        <v>0</v>
      </c>
      <c r="K84">
        <f t="shared" si="3"/>
        <v>0</v>
      </c>
    </row>
    <row r="85" spans="1:11" hidden="1" x14ac:dyDescent="0.25">
      <c r="A85">
        <v>30</v>
      </c>
      <c r="C85">
        <v>7194867418</v>
      </c>
      <c r="D85">
        <v>195</v>
      </c>
      <c r="E85">
        <v>0</v>
      </c>
      <c r="F85">
        <v>0</v>
      </c>
      <c r="G85">
        <v>195</v>
      </c>
      <c r="H85">
        <v>4.6301019999999999</v>
      </c>
      <c r="I85">
        <v>-74.081688999999997</v>
      </c>
      <c r="J85">
        <f t="shared" si="2"/>
        <v>0</v>
      </c>
      <c r="K85">
        <f t="shared" si="3"/>
        <v>0</v>
      </c>
    </row>
    <row r="86" spans="1:11" hidden="1" x14ac:dyDescent="0.25">
      <c r="A86">
        <v>224</v>
      </c>
      <c r="C86">
        <v>7194865020</v>
      </c>
      <c r="D86">
        <v>0</v>
      </c>
      <c r="E86">
        <v>201</v>
      </c>
      <c r="F86">
        <v>0</v>
      </c>
      <c r="G86">
        <v>201</v>
      </c>
      <c r="H86">
        <v>4.7117649999999998</v>
      </c>
      <c r="I86">
        <v>-74.054941999999997</v>
      </c>
      <c r="J86">
        <f t="shared" si="2"/>
        <v>0</v>
      </c>
      <c r="K86">
        <f t="shared" si="3"/>
        <v>0</v>
      </c>
    </row>
    <row r="87" spans="1:11" hidden="1" x14ac:dyDescent="0.25">
      <c r="A87">
        <v>185</v>
      </c>
      <c r="C87">
        <v>7194868763</v>
      </c>
      <c r="D87">
        <v>0</v>
      </c>
      <c r="E87">
        <v>246</v>
      </c>
      <c r="F87">
        <v>0</v>
      </c>
      <c r="G87">
        <v>246</v>
      </c>
      <c r="H87">
        <v>4.6235540000000004</v>
      </c>
      <c r="I87">
        <v>-74.098647</v>
      </c>
      <c r="J87">
        <f t="shared" si="2"/>
        <v>0</v>
      </c>
      <c r="K87">
        <f t="shared" si="3"/>
        <v>0</v>
      </c>
    </row>
    <row r="88" spans="1:11" hidden="1" x14ac:dyDescent="0.25">
      <c r="A88">
        <v>212</v>
      </c>
      <c r="C88">
        <v>7194843286</v>
      </c>
      <c r="D88">
        <v>0</v>
      </c>
      <c r="E88">
        <v>250</v>
      </c>
      <c r="F88">
        <v>0</v>
      </c>
      <c r="G88">
        <v>250</v>
      </c>
      <c r="H88">
        <v>4.6763450000000004</v>
      </c>
      <c r="I88">
        <v>-74.061701999999997</v>
      </c>
      <c r="J88">
        <f t="shared" si="2"/>
        <v>0</v>
      </c>
      <c r="K88">
        <f t="shared" si="3"/>
        <v>0</v>
      </c>
    </row>
    <row r="89" spans="1:11" hidden="1" x14ac:dyDescent="0.25">
      <c r="A89">
        <v>253</v>
      </c>
      <c r="C89">
        <v>7194804424</v>
      </c>
      <c r="D89">
        <v>0</v>
      </c>
      <c r="E89">
        <v>0</v>
      </c>
      <c r="F89">
        <v>258</v>
      </c>
      <c r="G89">
        <v>258</v>
      </c>
      <c r="H89">
        <v>4.689095</v>
      </c>
      <c r="I89">
        <v>-74.131162000000003</v>
      </c>
      <c r="J89">
        <f t="shared" si="2"/>
        <v>0</v>
      </c>
      <c r="K89">
        <f t="shared" si="3"/>
        <v>0</v>
      </c>
    </row>
    <row r="90" spans="1:11" hidden="1" x14ac:dyDescent="0.25">
      <c r="A90">
        <v>200</v>
      </c>
      <c r="C90">
        <v>7194819013</v>
      </c>
      <c r="D90">
        <v>0</v>
      </c>
      <c r="E90">
        <v>300</v>
      </c>
      <c r="F90">
        <v>0</v>
      </c>
      <c r="G90">
        <v>300</v>
      </c>
      <c r="H90">
        <v>4.659249</v>
      </c>
      <c r="I90">
        <v>-74.075361999999998</v>
      </c>
      <c r="J90">
        <f t="shared" si="2"/>
        <v>0</v>
      </c>
      <c r="K90">
        <f t="shared" si="3"/>
        <v>0</v>
      </c>
    </row>
    <row r="91" spans="1:11" hidden="1" x14ac:dyDescent="0.25">
      <c r="A91">
        <v>45</v>
      </c>
      <c r="C91">
        <v>7194867551</v>
      </c>
      <c r="D91">
        <v>305</v>
      </c>
      <c r="E91">
        <v>0</v>
      </c>
      <c r="F91">
        <v>0</v>
      </c>
      <c r="G91">
        <v>305</v>
      </c>
      <c r="H91">
        <v>4.6451510000000003</v>
      </c>
      <c r="I91">
        <v>-74.099777000000003</v>
      </c>
      <c r="J91">
        <f t="shared" si="2"/>
        <v>0</v>
      </c>
      <c r="K91">
        <f t="shared" si="3"/>
        <v>0</v>
      </c>
    </row>
    <row r="92" spans="1:11" hidden="1" x14ac:dyDescent="0.25">
      <c r="A92">
        <v>223</v>
      </c>
      <c r="C92">
        <v>7194859757</v>
      </c>
      <c r="D92">
        <v>0</v>
      </c>
      <c r="E92">
        <v>312</v>
      </c>
      <c r="F92">
        <v>0</v>
      </c>
      <c r="G92">
        <v>312</v>
      </c>
      <c r="H92">
        <v>4.7113240000000003</v>
      </c>
      <c r="I92">
        <v>-74.032477</v>
      </c>
      <c r="J92">
        <f t="shared" si="2"/>
        <v>0</v>
      </c>
      <c r="K92">
        <f t="shared" si="3"/>
        <v>0</v>
      </c>
    </row>
    <row r="93" spans="1:11" hidden="1" x14ac:dyDescent="0.25">
      <c r="A93">
        <v>230</v>
      </c>
      <c r="C93">
        <v>7194837873</v>
      </c>
      <c r="D93">
        <v>0</v>
      </c>
      <c r="E93">
        <v>316</v>
      </c>
      <c r="F93">
        <v>0</v>
      </c>
      <c r="G93">
        <v>316</v>
      </c>
      <c r="H93">
        <v>4.7357110000000002</v>
      </c>
      <c r="I93">
        <v>-74.270556999999997</v>
      </c>
      <c r="J93">
        <f t="shared" si="2"/>
        <v>0</v>
      </c>
      <c r="K93">
        <f t="shared" si="3"/>
        <v>0</v>
      </c>
    </row>
    <row r="94" spans="1:11" hidden="1" x14ac:dyDescent="0.25">
      <c r="A94">
        <v>180</v>
      </c>
      <c r="C94">
        <v>7194865816</v>
      </c>
      <c r="D94">
        <v>0</v>
      </c>
      <c r="E94">
        <v>328</v>
      </c>
      <c r="F94">
        <v>0</v>
      </c>
      <c r="G94">
        <v>328</v>
      </c>
      <c r="H94">
        <v>4.6037100000000004</v>
      </c>
      <c r="I94">
        <v>-74.086907999999994</v>
      </c>
      <c r="J94">
        <f t="shared" si="2"/>
        <v>0</v>
      </c>
      <c r="K94">
        <f t="shared" si="3"/>
        <v>0</v>
      </c>
    </row>
    <row r="95" spans="1:11" hidden="1" x14ac:dyDescent="0.25">
      <c r="A95">
        <v>225</v>
      </c>
      <c r="C95">
        <v>7194867802</v>
      </c>
      <c r="D95">
        <v>0</v>
      </c>
      <c r="E95">
        <v>462</v>
      </c>
      <c r="F95">
        <v>0</v>
      </c>
      <c r="G95">
        <v>462</v>
      </c>
      <c r="H95">
        <v>4.7152190000000003</v>
      </c>
      <c r="I95">
        <v>-74.216830000000002</v>
      </c>
      <c r="J95">
        <f t="shared" si="2"/>
        <v>0</v>
      </c>
      <c r="K95">
        <f t="shared" si="3"/>
        <v>0</v>
      </c>
    </row>
    <row r="96" spans="1:11" hidden="1" x14ac:dyDescent="0.25">
      <c r="A96">
        <v>242</v>
      </c>
      <c r="C96">
        <v>7194855736</v>
      </c>
      <c r="D96">
        <v>0</v>
      </c>
      <c r="E96">
        <v>500</v>
      </c>
      <c r="F96">
        <v>0</v>
      </c>
      <c r="G96">
        <v>500</v>
      </c>
      <c r="H96">
        <v>4.7671979999999996</v>
      </c>
      <c r="I96">
        <v>-74.184166000000005</v>
      </c>
      <c r="J96">
        <f t="shared" si="2"/>
        <v>0</v>
      </c>
      <c r="K96">
        <f t="shared" si="3"/>
        <v>0</v>
      </c>
    </row>
    <row r="97" spans="1:11" hidden="1" x14ac:dyDescent="0.25">
      <c r="A97">
        <v>90</v>
      </c>
      <c r="C97">
        <v>7194697019</v>
      </c>
      <c r="D97">
        <v>549</v>
      </c>
      <c r="E97">
        <v>0</v>
      </c>
      <c r="F97">
        <v>0</v>
      </c>
      <c r="G97">
        <v>549</v>
      </c>
      <c r="H97">
        <v>4.689095</v>
      </c>
      <c r="I97">
        <v>-74.131162000000003</v>
      </c>
      <c r="J97">
        <f t="shared" si="2"/>
        <v>0</v>
      </c>
      <c r="K97">
        <f t="shared" si="3"/>
        <v>0</v>
      </c>
    </row>
    <row r="98" spans="1:11" hidden="1" x14ac:dyDescent="0.25">
      <c r="A98">
        <v>221</v>
      </c>
      <c r="C98">
        <v>7194840368</v>
      </c>
      <c r="D98">
        <v>0</v>
      </c>
      <c r="E98">
        <v>586</v>
      </c>
      <c r="F98">
        <v>0</v>
      </c>
      <c r="G98">
        <v>586</v>
      </c>
      <c r="H98">
        <v>4.7049609999999999</v>
      </c>
      <c r="I98">
        <v>-74.043599999999998</v>
      </c>
      <c r="J98">
        <f t="shared" si="2"/>
        <v>0</v>
      </c>
      <c r="K98">
        <f t="shared" si="3"/>
        <v>0</v>
      </c>
    </row>
    <row r="99" spans="1:11" hidden="1" x14ac:dyDescent="0.25">
      <c r="A99">
        <v>216</v>
      </c>
      <c r="C99">
        <v>7194806195</v>
      </c>
      <c r="D99">
        <v>0</v>
      </c>
      <c r="E99">
        <v>695</v>
      </c>
      <c r="F99">
        <v>0</v>
      </c>
      <c r="G99">
        <v>695</v>
      </c>
      <c r="H99">
        <v>4.689095</v>
      </c>
      <c r="I99">
        <v>-74.131162000000003</v>
      </c>
      <c r="J99">
        <f t="shared" si="2"/>
        <v>0</v>
      </c>
      <c r="K99">
        <f t="shared" si="3"/>
        <v>0</v>
      </c>
    </row>
    <row r="100" spans="1:11" hidden="1" x14ac:dyDescent="0.25">
      <c r="A100">
        <v>174</v>
      </c>
      <c r="C100">
        <v>7194859769</v>
      </c>
      <c r="D100">
        <v>0</v>
      </c>
      <c r="E100">
        <v>754</v>
      </c>
      <c r="F100">
        <v>0</v>
      </c>
      <c r="G100">
        <v>754</v>
      </c>
      <c r="H100">
        <v>4.5855189999999997</v>
      </c>
      <c r="I100">
        <v>-74.125551000000002</v>
      </c>
      <c r="J100">
        <f t="shared" si="2"/>
        <v>0</v>
      </c>
      <c r="K100">
        <f t="shared" si="3"/>
        <v>0</v>
      </c>
    </row>
    <row r="101" spans="1:11" hidden="1" x14ac:dyDescent="0.25">
      <c r="A101">
        <v>21</v>
      </c>
      <c r="C101">
        <v>7194821874</v>
      </c>
      <c r="D101">
        <v>5</v>
      </c>
      <c r="E101">
        <v>5</v>
      </c>
      <c r="F101">
        <v>0</v>
      </c>
      <c r="G101">
        <v>10</v>
      </c>
      <c r="H101">
        <v>4.6256360000000001</v>
      </c>
      <c r="I101">
        <v>-74.098286000000002</v>
      </c>
      <c r="J101">
        <f t="shared" si="2"/>
        <v>0</v>
      </c>
      <c r="K101">
        <f t="shared" si="3"/>
        <v>1</v>
      </c>
    </row>
    <row r="102" spans="1:11" hidden="1" x14ac:dyDescent="0.25">
      <c r="A102">
        <v>168</v>
      </c>
      <c r="C102">
        <v>7194816053</v>
      </c>
      <c r="D102">
        <v>10</v>
      </c>
      <c r="E102">
        <v>2</v>
      </c>
      <c r="F102">
        <v>0</v>
      </c>
      <c r="G102">
        <v>12</v>
      </c>
      <c r="H102">
        <v>4.8755119999999996</v>
      </c>
      <c r="I102">
        <v>-74.039322999999996</v>
      </c>
      <c r="J102">
        <f t="shared" si="2"/>
        <v>0</v>
      </c>
      <c r="K102">
        <f t="shared" si="3"/>
        <v>1</v>
      </c>
    </row>
    <row r="103" spans="1:11" hidden="1" x14ac:dyDescent="0.25">
      <c r="A103">
        <v>87</v>
      </c>
      <c r="C103">
        <v>7194864026</v>
      </c>
      <c r="D103">
        <v>8</v>
      </c>
      <c r="E103">
        <v>5</v>
      </c>
      <c r="F103">
        <v>0</v>
      </c>
      <c r="G103">
        <v>13</v>
      </c>
      <c r="H103">
        <v>4.683478</v>
      </c>
      <c r="I103">
        <v>-74.164619999999999</v>
      </c>
      <c r="J103">
        <f t="shared" si="2"/>
        <v>0</v>
      </c>
      <c r="K103">
        <f t="shared" si="3"/>
        <v>1</v>
      </c>
    </row>
    <row r="104" spans="1:11" hidden="1" x14ac:dyDescent="0.25">
      <c r="A104">
        <v>9</v>
      </c>
      <c r="C104">
        <v>7194867076</v>
      </c>
      <c r="D104">
        <v>2</v>
      </c>
      <c r="E104">
        <v>12</v>
      </c>
      <c r="F104">
        <v>0</v>
      </c>
      <c r="G104">
        <v>14</v>
      </c>
      <c r="H104">
        <v>4.6000909999999999</v>
      </c>
      <c r="I104">
        <v>-74.065062999999995</v>
      </c>
      <c r="J104">
        <f t="shared" si="2"/>
        <v>0</v>
      </c>
      <c r="K104">
        <f t="shared" si="3"/>
        <v>1</v>
      </c>
    </row>
    <row r="105" spans="1:11" hidden="1" x14ac:dyDescent="0.25">
      <c r="A105">
        <v>17</v>
      </c>
      <c r="C105">
        <v>7194866931</v>
      </c>
      <c r="D105">
        <v>13</v>
      </c>
      <c r="E105">
        <v>2</v>
      </c>
      <c r="F105">
        <v>0</v>
      </c>
      <c r="G105">
        <v>15</v>
      </c>
      <c r="H105">
        <v>4.6181960000000002</v>
      </c>
      <c r="I105">
        <v>-74.137220999999997</v>
      </c>
      <c r="J105">
        <f t="shared" si="2"/>
        <v>0</v>
      </c>
      <c r="K105">
        <f t="shared" si="3"/>
        <v>1</v>
      </c>
    </row>
    <row r="106" spans="1:11" hidden="1" x14ac:dyDescent="0.25">
      <c r="A106">
        <v>32</v>
      </c>
      <c r="C106">
        <v>7194862025</v>
      </c>
      <c r="D106">
        <v>14</v>
      </c>
      <c r="E106">
        <v>1</v>
      </c>
      <c r="F106">
        <v>0</v>
      </c>
      <c r="G106">
        <v>15</v>
      </c>
      <c r="H106">
        <v>4.63089</v>
      </c>
      <c r="I106">
        <v>-74.064243000000005</v>
      </c>
      <c r="J106">
        <f t="shared" si="2"/>
        <v>0</v>
      </c>
      <c r="K106">
        <f t="shared" si="3"/>
        <v>1</v>
      </c>
    </row>
    <row r="107" spans="1:11" hidden="1" x14ac:dyDescent="0.25">
      <c r="A107">
        <v>116</v>
      </c>
      <c r="C107">
        <v>7194865525</v>
      </c>
      <c r="D107">
        <v>11</v>
      </c>
      <c r="E107">
        <v>5</v>
      </c>
      <c r="F107">
        <v>0</v>
      </c>
      <c r="G107">
        <v>16</v>
      </c>
      <c r="H107">
        <v>4.7025269999999999</v>
      </c>
      <c r="I107">
        <v>-74.039420000000007</v>
      </c>
      <c r="J107">
        <f t="shared" si="2"/>
        <v>0</v>
      </c>
      <c r="K107">
        <f t="shared" si="3"/>
        <v>1</v>
      </c>
    </row>
    <row r="108" spans="1:11" hidden="1" x14ac:dyDescent="0.25">
      <c r="A108">
        <v>144</v>
      </c>
      <c r="C108">
        <v>7194864190</v>
      </c>
      <c r="D108">
        <v>10</v>
      </c>
      <c r="E108">
        <v>7</v>
      </c>
      <c r="F108">
        <v>0</v>
      </c>
      <c r="G108">
        <v>17</v>
      </c>
      <c r="H108">
        <v>4.7417600000000002</v>
      </c>
      <c r="I108">
        <v>-74.025712999999996</v>
      </c>
      <c r="J108">
        <f t="shared" si="2"/>
        <v>0</v>
      </c>
      <c r="K108">
        <f t="shared" si="3"/>
        <v>1</v>
      </c>
    </row>
    <row r="109" spans="1:11" hidden="1" x14ac:dyDescent="0.25">
      <c r="A109">
        <v>156</v>
      </c>
      <c r="C109">
        <v>7194866232</v>
      </c>
      <c r="D109">
        <v>12</v>
      </c>
      <c r="E109">
        <v>5</v>
      </c>
      <c r="F109">
        <v>0</v>
      </c>
      <c r="G109">
        <v>17</v>
      </c>
      <c r="H109">
        <v>4.7783569999999997</v>
      </c>
      <c r="I109">
        <v>-74.140221999999994</v>
      </c>
      <c r="J109">
        <f t="shared" si="2"/>
        <v>0</v>
      </c>
      <c r="K109">
        <f t="shared" si="3"/>
        <v>1</v>
      </c>
    </row>
    <row r="110" spans="1:11" hidden="1" x14ac:dyDescent="0.25">
      <c r="A110">
        <v>78</v>
      </c>
      <c r="C110">
        <v>7194867430</v>
      </c>
      <c r="D110">
        <v>13</v>
      </c>
      <c r="E110">
        <v>5</v>
      </c>
      <c r="F110">
        <v>0</v>
      </c>
      <c r="G110">
        <v>18</v>
      </c>
      <c r="H110">
        <v>4.6730470000000004</v>
      </c>
      <c r="I110">
        <v>-74.048151000000004</v>
      </c>
      <c r="J110">
        <f t="shared" si="2"/>
        <v>0</v>
      </c>
      <c r="K110">
        <f t="shared" si="3"/>
        <v>1</v>
      </c>
    </row>
    <row r="111" spans="1:11" hidden="1" x14ac:dyDescent="0.25">
      <c r="A111">
        <v>193</v>
      </c>
      <c r="C111">
        <v>7194874166</v>
      </c>
      <c r="D111">
        <v>0</v>
      </c>
      <c r="E111">
        <v>8</v>
      </c>
      <c r="F111">
        <v>10</v>
      </c>
      <c r="G111">
        <v>18</v>
      </c>
      <c r="H111">
        <v>4.6438059999999997</v>
      </c>
      <c r="I111">
        <v>-74.069458999999995</v>
      </c>
      <c r="J111">
        <f t="shared" si="2"/>
        <v>0</v>
      </c>
      <c r="K111">
        <f t="shared" si="3"/>
        <v>1</v>
      </c>
    </row>
    <row r="112" spans="1:11" x14ac:dyDescent="0.25">
      <c r="A112">
        <v>44</v>
      </c>
      <c r="C112">
        <v>7194815329</v>
      </c>
      <c r="D112">
        <v>3</v>
      </c>
      <c r="E112">
        <v>4</v>
      </c>
      <c r="F112">
        <v>12</v>
      </c>
      <c r="G112">
        <v>19</v>
      </c>
      <c r="H112">
        <v>4.6435389999999996</v>
      </c>
      <c r="I112">
        <v>-74.115739000000005</v>
      </c>
      <c r="J112">
        <f t="shared" si="2"/>
        <v>1</v>
      </c>
      <c r="K112">
        <f t="shared" si="3"/>
        <v>1</v>
      </c>
    </row>
    <row r="113" spans="1:11" hidden="1" x14ac:dyDescent="0.25">
      <c r="A113">
        <v>246</v>
      </c>
      <c r="C113">
        <v>7194863347</v>
      </c>
      <c r="D113">
        <v>0</v>
      </c>
      <c r="E113">
        <v>12</v>
      </c>
      <c r="F113">
        <v>7</v>
      </c>
      <c r="G113">
        <v>19</v>
      </c>
      <c r="H113">
        <v>4.807976</v>
      </c>
      <c r="I113">
        <v>-74.069312999999994</v>
      </c>
      <c r="J113">
        <f t="shared" si="2"/>
        <v>0</v>
      </c>
      <c r="K113">
        <f t="shared" si="3"/>
        <v>1</v>
      </c>
    </row>
    <row r="114" spans="1:11" hidden="1" x14ac:dyDescent="0.25">
      <c r="A114">
        <v>47</v>
      </c>
      <c r="C114">
        <v>7194845772</v>
      </c>
      <c r="D114">
        <v>2</v>
      </c>
      <c r="E114">
        <v>18</v>
      </c>
      <c r="F114">
        <v>0</v>
      </c>
      <c r="G114">
        <v>20</v>
      </c>
      <c r="H114">
        <v>4.6459830000000002</v>
      </c>
      <c r="I114">
        <v>-74.060243999999997</v>
      </c>
      <c r="J114">
        <f t="shared" si="2"/>
        <v>0</v>
      </c>
      <c r="K114">
        <f t="shared" si="3"/>
        <v>1</v>
      </c>
    </row>
    <row r="115" spans="1:11" hidden="1" x14ac:dyDescent="0.25">
      <c r="A115">
        <v>16</v>
      </c>
      <c r="C115">
        <v>7194845229</v>
      </c>
      <c r="D115">
        <v>13</v>
      </c>
      <c r="E115">
        <v>8</v>
      </c>
      <c r="F115">
        <v>0</v>
      </c>
      <c r="G115">
        <v>21</v>
      </c>
      <c r="H115">
        <v>4.6160920000000001</v>
      </c>
      <c r="I115">
        <v>-74.071138000000005</v>
      </c>
      <c r="J115">
        <f t="shared" si="2"/>
        <v>0</v>
      </c>
      <c r="K115">
        <f t="shared" si="3"/>
        <v>1</v>
      </c>
    </row>
    <row r="116" spans="1:11" hidden="1" x14ac:dyDescent="0.25">
      <c r="A116">
        <v>113</v>
      </c>
      <c r="C116">
        <v>7194865483</v>
      </c>
      <c r="D116">
        <v>11</v>
      </c>
      <c r="E116">
        <v>10</v>
      </c>
      <c r="F116">
        <v>0</v>
      </c>
      <c r="G116">
        <v>21</v>
      </c>
      <c r="H116">
        <v>4.7021319999999998</v>
      </c>
      <c r="I116">
        <v>-74.041151999999997</v>
      </c>
      <c r="J116">
        <f t="shared" si="2"/>
        <v>0</v>
      </c>
      <c r="K116">
        <f t="shared" si="3"/>
        <v>1</v>
      </c>
    </row>
    <row r="117" spans="1:11" hidden="1" x14ac:dyDescent="0.25">
      <c r="A117">
        <v>65</v>
      </c>
      <c r="C117">
        <v>7194872125</v>
      </c>
      <c r="D117">
        <v>4</v>
      </c>
      <c r="E117">
        <v>20</v>
      </c>
      <c r="F117">
        <v>0</v>
      </c>
      <c r="G117">
        <v>24</v>
      </c>
      <c r="H117">
        <v>4.6627450000000001</v>
      </c>
      <c r="I117">
        <v>-74.056309999999996</v>
      </c>
      <c r="J117">
        <f t="shared" si="2"/>
        <v>0</v>
      </c>
      <c r="K117">
        <f t="shared" si="3"/>
        <v>1</v>
      </c>
    </row>
    <row r="118" spans="1:11" hidden="1" x14ac:dyDescent="0.25">
      <c r="A118">
        <v>148</v>
      </c>
      <c r="C118">
        <v>7194865489</v>
      </c>
      <c r="D118">
        <v>1</v>
      </c>
      <c r="E118">
        <v>0</v>
      </c>
      <c r="F118">
        <v>24</v>
      </c>
      <c r="G118">
        <v>25</v>
      </c>
      <c r="H118">
        <v>4.752472</v>
      </c>
      <c r="I118">
        <v>-74.052105999999995</v>
      </c>
      <c r="J118">
        <f t="shared" si="2"/>
        <v>0</v>
      </c>
      <c r="K118">
        <f t="shared" si="3"/>
        <v>1</v>
      </c>
    </row>
    <row r="119" spans="1:11" x14ac:dyDescent="0.25">
      <c r="A119">
        <v>127</v>
      </c>
      <c r="C119">
        <v>7194862957</v>
      </c>
      <c r="D119">
        <v>6</v>
      </c>
      <c r="E119">
        <v>6</v>
      </c>
      <c r="F119">
        <v>14</v>
      </c>
      <c r="G119">
        <v>26</v>
      </c>
      <c r="H119">
        <v>4.7178300000000002</v>
      </c>
      <c r="I119">
        <v>-74.044098000000005</v>
      </c>
      <c r="J119">
        <f t="shared" si="2"/>
        <v>1</v>
      </c>
      <c r="K119">
        <f t="shared" si="3"/>
        <v>1</v>
      </c>
    </row>
    <row r="120" spans="1:11" hidden="1" x14ac:dyDescent="0.25">
      <c r="A120">
        <v>137</v>
      </c>
      <c r="C120">
        <v>7194781665</v>
      </c>
      <c r="D120">
        <v>19</v>
      </c>
      <c r="E120">
        <v>0</v>
      </c>
      <c r="F120">
        <v>9</v>
      </c>
      <c r="G120">
        <v>28</v>
      </c>
      <c r="H120">
        <v>4.7357110000000002</v>
      </c>
      <c r="I120">
        <v>-74.270556999999997</v>
      </c>
      <c r="J120">
        <f t="shared" si="2"/>
        <v>0</v>
      </c>
      <c r="K120">
        <f t="shared" si="3"/>
        <v>1</v>
      </c>
    </row>
    <row r="121" spans="1:11" hidden="1" x14ac:dyDescent="0.25">
      <c r="A121">
        <v>157</v>
      </c>
      <c r="C121">
        <v>7194868217</v>
      </c>
      <c r="D121">
        <v>3</v>
      </c>
      <c r="E121">
        <v>26</v>
      </c>
      <c r="F121">
        <v>0</v>
      </c>
      <c r="G121">
        <v>29</v>
      </c>
      <c r="H121">
        <v>4.784198</v>
      </c>
      <c r="I121">
        <v>-74.043983999999995</v>
      </c>
      <c r="J121">
        <f t="shared" si="2"/>
        <v>0</v>
      </c>
      <c r="K121">
        <f t="shared" si="3"/>
        <v>1</v>
      </c>
    </row>
    <row r="122" spans="1:11" hidden="1" x14ac:dyDescent="0.25">
      <c r="A122">
        <v>149</v>
      </c>
      <c r="C122">
        <v>7194839041</v>
      </c>
      <c r="D122">
        <v>28</v>
      </c>
      <c r="E122">
        <v>0</v>
      </c>
      <c r="F122">
        <v>3</v>
      </c>
      <c r="G122">
        <v>31</v>
      </c>
      <c r="H122">
        <v>4.7560450000000003</v>
      </c>
      <c r="I122">
        <v>-74.135349000000005</v>
      </c>
      <c r="J122">
        <f t="shared" si="2"/>
        <v>0</v>
      </c>
      <c r="K122">
        <f t="shared" si="3"/>
        <v>1</v>
      </c>
    </row>
    <row r="123" spans="1:11" hidden="1" x14ac:dyDescent="0.25">
      <c r="A123">
        <v>53</v>
      </c>
      <c r="C123">
        <v>7194850316</v>
      </c>
      <c r="D123">
        <v>16</v>
      </c>
      <c r="E123">
        <v>17</v>
      </c>
      <c r="F123">
        <v>0</v>
      </c>
      <c r="G123">
        <v>33</v>
      </c>
      <c r="H123">
        <v>4.6525369999999997</v>
      </c>
      <c r="I123">
        <v>-74.109316000000007</v>
      </c>
      <c r="J123">
        <f t="shared" si="2"/>
        <v>0</v>
      </c>
      <c r="K123">
        <f t="shared" si="3"/>
        <v>1</v>
      </c>
    </row>
    <row r="124" spans="1:11" hidden="1" x14ac:dyDescent="0.25">
      <c r="A124">
        <v>138</v>
      </c>
      <c r="C124">
        <v>7194864635</v>
      </c>
      <c r="D124">
        <v>20</v>
      </c>
      <c r="E124">
        <v>16</v>
      </c>
      <c r="F124">
        <v>0</v>
      </c>
      <c r="G124">
        <v>36</v>
      </c>
      <c r="H124">
        <v>4.7375990000000003</v>
      </c>
      <c r="I124">
        <v>-74.025225000000006</v>
      </c>
      <c r="J124">
        <f t="shared" si="2"/>
        <v>0</v>
      </c>
      <c r="K124">
        <f t="shared" si="3"/>
        <v>1</v>
      </c>
    </row>
    <row r="125" spans="1:11" hidden="1" x14ac:dyDescent="0.25">
      <c r="A125">
        <v>146</v>
      </c>
      <c r="C125">
        <v>7194863823</v>
      </c>
      <c r="D125">
        <v>12</v>
      </c>
      <c r="E125">
        <v>24</v>
      </c>
      <c r="F125">
        <v>0</v>
      </c>
      <c r="G125">
        <v>36</v>
      </c>
      <c r="H125">
        <v>4.7471579999999998</v>
      </c>
      <c r="I125">
        <v>-74.044473999999994</v>
      </c>
      <c r="J125">
        <f t="shared" si="2"/>
        <v>0</v>
      </c>
      <c r="K125">
        <f t="shared" si="3"/>
        <v>1</v>
      </c>
    </row>
    <row r="126" spans="1:11" hidden="1" x14ac:dyDescent="0.25">
      <c r="A126">
        <v>89</v>
      </c>
      <c r="C126">
        <v>7194865587</v>
      </c>
      <c r="D126">
        <v>26</v>
      </c>
      <c r="E126">
        <v>11</v>
      </c>
      <c r="F126">
        <v>0</v>
      </c>
      <c r="G126">
        <v>37</v>
      </c>
      <c r="H126">
        <v>4.6862740000000001</v>
      </c>
      <c r="I126">
        <v>-74.052616</v>
      </c>
      <c r="J126">
        <f t="shared" si="2"/>
        <v>0</v>
      </c>
      <c r="K126">
        <f t="shared" si="3"/>
        <v>1</v>
      </c>
    </row>
    <row r="127" spans="1:11" hidden="1" x14ac:dyDescent="0.25">
      <c r="A127">
        <v>128</v>
      </c>
      <c r="C127">
        <v>7194864618</v>
      </c>
      <c r="D127">
        <v>8</v>
      </c>
      <c r="E127">
        <v>30</v>
      </c>
      <c r="F127">
        <v>0</v>
      </c>
      <c r="G127">
        <v>38</v>
      </c>
      <c r="H127">
        <v>4.7226509999999999</v>
      </c>
      <c r="I127">
        <v>-74.071174999999997</v>
      </c>
      <c r="J127">
        <f t="shared" si="2"/>
        <v>0</v>
      </c>
      <c r="K127">
        <f t="shared" si="3"/>
        <v>1</v>
      </c>
    </row>
    <row r="128" spans="1:11" hidden="1" x14ac:dyDescent="0.25">
      <c r="A128">
        <v>179</v>
      </c>
      <c r="C128">
        <v>7194858481</v>
      </c>
      <c r="D128">
        <v>0</v>
      </c>
      <c r="E128">
        <v>37</v>
      </c>
      <c r="F128">
        <v>2</v>
      </c>
      <c r="G128">
        <v>39</v>
      </c>
      <c r="H128">
        <v>4.6012570000000004</v>
      </c>
      <c r="I128">
        <v>-74.074725999999998</v>
      </c>
      <c r="J128">
        <f t="shared" si="2"/>
        <v>0</v>
      </c>
      <c r="K128">
        <f t="shared" si="3"/>
        <v>1</v>
      </c>
    </row>
    <row r="129" spans="1:11" hidden="1" x14ac:dyDescent="0.25">
      <c r="A129">
        <v>22</v>
      </c>
      <c r="C129">
        <v>7194868838</v>
      </c>
      <c r="D129">
        <v>3</v>
      </c>
      <c r="E129">
        <v>37</v>
      </c>
      <c r="F129">
        <v>0</v>
      </c>
      <c r="G129">
        <v>40</v>
      </c>
      <c r="H129">
        <v>4.6256490000000001</v>
      </c>
      <c r="I129">
        <v>-74.111041999999998</v>
      </c>
      <c r="J129">
        <f t="shared" si="2"/>
        <v>0</v>
      </c>
      <c r="K129">
        <f t="shared" si="3"/>
        <v>1</v>
      </c>
    </row>
    <row r="130" spans="1:11" hidden="1" x14ac:dyDescent="0.25">
      <c r="A130">
        <v>123</v>
      </c>
      <c r="C130">
        <v>7194867614</v>
      </c>
      <c r="D130">
        <v>29</v>
      </c>
      <c r="E130">
        <v>0</v>
      </c>
      <c r="F130">
        <v>13</v>
      </c>
      <c r="G130">
        <v>42</v>
      </c>
      <c r="H130">
        <v>4.7113240000000003</v>
      </c>
      <c r="I130">
        <v>-74.032477</v>
      </c>
      <c r="J130">
        <f t="shared" ref="J130:J193" si="4">IF(AND(D130&gt;=1,E130&gt;=1,F130&gt;=1),1,0)</f>
        <v>0</v>
      </c>
      <c r="K130">
        <f t="shared" ref="K130:K193" si="5">IF((D130&gt;=1)+(E130&gt;=1)+(F130&gt;=1)&gt;=2,1,0)</f>
        <v>1</v>
      </c>
    </row>
    <row r="131" spans="1:11" x14ac:dyDescent="0.25">
      <c r="A131">
        <v>6</v>
      </c>
      <c r="C131">
        <v>7194865029</v>
      </c>
      <c r="D131">
        <v>20</v>
      </c>
      <c r="E131">
        <v>3</v>
      </c>
      <c r="F131">
        <v>20</v>
      </c>
      <c r="G131">
        <v>43</v>
      </c>
      <c r="H131">
        <v>4.5965499999999997</v>
      </c>
      <c r="I131">
        <v>-74.067683000000002</v>
      </c>
      <c r="J131">
        <f t="shared" si="4"/>
        <v>1</v>
      </c>
      <c r="K131">
        <f t="shared" si="5"/>
        <v>1</v>
      </c>
    </row>
    <row r="132" spans="1:11" hidden="1" x14ac:dyDescent="0.25">
      <c r="A132">
        <v>7</v>
      </c>
      <c r="C132">
        <v>7194821176</v>
      </c>
      <c r="D132">
        <v>38</v>
      </c>
      <c r="E132">
        <v>6</v>
      </c>
      <c r="F132">
        <v>0</v>
      </c>
      <c r="G132">
        <v>44</v>
      </c>
      <c r="H132">
        <v>4.5978690000000002</v>
      </c>
      <c r="I132">
        <v>-74.067409999999995</v>
      </c>
      <c r="J132">
        <f t="shared" si="4"/>
        <v>0</v>
      </c>
      <c r="K132">
        <f t="shared" si="5"/>
        <v>1</v>
      </c>
    </row>
    <row r="133" spans="1:11" hidden="1" x14ac:dyDescent="0.25">
      <c r="A133">
        <v>42</v>
      </c>
      <c r="C133">
        <v>7194838823</v>
      </c>
      <c r="D133">
        <v>5</v>
      </c>
      <c r="E133">
        <v>39</v>
      </c>
      <c r="F133">
        <v>0</v>
      </c>
      <c r="G133">
        <v>44</v>
      </c>
      <c r="H133">
        <v>4.6410819999999999</v>
      </c>
      <c r="I133">
        <v>-74.123429000000002</v>
      </c>
      <c r="J133">
        <f t="shared" si="4"/>
        <v>0</v>
      </c>
      <c r="K133">
        <f t="shared" si="5"/>
        <v>1</v>
      </c>
    </row>
    <row r="134" spans="1:11" hidden="1" x14ac:dyDescent="0.25">
      <c r="A134">
        <v>63</v>
      </c>
      <c r="C134">
        <v>7194861584</v>
      </c>
      <c r="D134">
        <v>6</v>
      </c>
      <c r="E134">
        <v>38</v>
      </c>
      <c r="F134">
        <v>0</v>
      </c>
      <c r="G134">
        <v>44</v>
      </c>
      <c r="H134">
        <v>4.6617040000000003</v>
      </c>
      <c r="I134">
        <v>-74.132422000000005</v>
      </c>
      <c r="J134">
        <f t="shared" si="4"/>
        <v>0</v>
      </c>
      <c r="K134">
        <f t="shared" si="5"/>
        <v>1</v>
      </c>
    </row>
    <row r="135" spans="1:11" hidden="1" x14ac:dyDescent="0.25">
      <c r="A135">
        <v>125</v>
      </c>
      <c r="C135">
        <v>7194864728</v>
      </c>
      <c r="D135">
        <v>32</v>
      </c>
      <c r="E135">
        <v>0</v>
      </c>
      <c r="F135">
        <v>12</v>
      </c>
      <c r="G135">
        <v>44</v>
      </c>
      <c r="H135">
        <v>4.7152190000000003</v>
      </c>
      <c r="I135">
        <v>-74.216830000000002</v>
      </c>
      <c r="J135">
        <f t="shared" si="4"/>
        <v>0</v>
      </c>
      <c r="K135">
        <f t="shared" si="5"/>
        <v>1</v>
      </c>
    </row>
    <row r="136" spans="1:11" x14ac:dyDescent="0.25">
      <c r="A136">
        <v>96</v>
      </c>
      <c r="C136">
        <v>7194860377</v>
      </c>
      <c r="D136">
        <v>21</v>
      </c>
      <c r="E136">
        <v>12</v>
      </c>
      <c r="F136">
        <v>14</v>
      </c>
      <c r="G136">
        <v>47</v>
      </c>
      <c r="H136">
        <v>4.6924999999999999</v>
      </c>
      <c r="I136">
        <v>-74.068284000000006</v>
      </c>
      <c r="J136">
        <f t="shared" si="4"/>
        <v>1</v>
      </c>
      <c r="K136">
        <f t="shared" si="5"/>
        <v>1</v>
      </c>
    </row>
    <row r="137" spans="1:11" hidden="1" x14ac:dyDescent="0.25">
      <c r="A137">
        <v>159</v>
      </c>
      <c r="C137">
        <v>7194864087</v>
      </c>
      <c r="D137">
        <v>23</v>
      </c>
      <c r="E137">
        <v>26</v>
      </c>
      <c r="F137">
        <v>0</v>
      </c>
      <c r="G137">
        <v>49</v>
      </c>
      <c r="H137">
        <v>4.7930380000000001</v>
      </c>
      <c r="I137">
        <v>-74.04383</v>
      </c>
      <c r="J137">
        <f t="shared" si="4"/>
        <v>0</v>
      </c>
      <c r="K137">
        <f t="shared" si="5"/>
        <v>1</v>
      </c>
    </row>
    <row r="138" spans="1:11" hidden="1" x14ac:dyDescent="0.25">
      <c r="A138">
        <v>64</v>
      </c>
      <c r="C138">
        <v>7194865436</v>
      </c>
      <c r="D138">
        <v>40</v>
      </c>
      <c r="E138">
        <v>10</v>
      </c>
      <c r="F138">
        <v>0</v>
      </c>
      <c r="G138">
        <v>50</v>
      </c>
      <c r="H138">
        <v>4.6617899999999999</v>
      </c>
      <c r="I138">
        <v>-74.109494999999995</v>
      </c>
      <c r="J138">
        <f t="shared" si="4"/>
        <v>0</v>
      </c>
      <c r="K138">
        <f t="shared" si="5"/>
        <v>1</v>
      </c>
    </row>
    <row r="139" spans="1:11" hidden="1" x14ac:dyDescent="0.25">
      <c r="A139">
        <v>105</v>
      </c>
      <c r="C139">
        <v>7194859936</v>
      </c>
      <c r="D139">
        <v>20</v>
      </c>
      <c r="E139">
        <v>30</v>
      </c>
      <c r="F139">
        <v>0</v>
      </c>
      <c r="G139">
        <v>50</v>
      </c>
      <c r="H139">
        <v>4.6970510000000001</v>
      </c>
      <c r="I139">
        <v>-74.205757000000006</v>
      </c>
      <c r="J139">
        <f t="shared" si="4"/>
        <v>0</v>
      </c>
      <c r="K139">
        <f t="shared" si="5"/>
        <v>1</v>
      </c>
    </row>
    <row r="140" spans="1:11" hidden="1" x14ac:dyDescent="0.25">
      <c r="A140">
        <v>5</v>
      </c>
      <c r="C140">
        <v>7194828089</v>
      </c>
      <c r="D140">
        <v>30</v>
      </c>
      <c r="E140">
        <v>21</v>
      </c>
      <c r="F140">
        <v>0</v>
      </c>
      <c r="G140">
        <v>51</v>
      </c>
      <c r="H140">
        <v>4.5916589999999999</v>
      </c>
      <c r="I140">
        <v>-74.123153000000002</v>
      </c>
      <c r="J140">
        <f t="shared" si="4"/>
        <v>0</v>
      </c>
      <c r="K140">
        <f t="shared" si="5"/>
        <v>1</v>
      </c>
    </row>
    <row r="141" spans="1:11" hidden="1" x14ac:dyDescent="0.25">
      <c r="A141">
        <v>80</v>
      </c>
      <c r="C141">
        <v>7194848649</v>
      </c>
      <c r="D141">
        <v>6</v>
      </c>
      <c r="E141">
        <v>45</v>
      </c>
      <c r="F141">
        <v>0</v>
      </c>
      <c r="G141">
        <v>51</v>
      </c>
      <c r="H141">
        <v>4.6743779999999999</v>
      </c>
      <c r="I141">
        <v>-74.047999000000004</v>
      </c>
      <c r="J141">
        <f t="shared" si="4"/>
        <v>0</v>
      </c>
      <c r="K141">
        <f t="shared" si="5"/>
        <v>1</v>
      </c>
    </row>
    <row r="142" spans="1:11" hidden="1" x14ac:dyDescent="0.25">
      <c r="A142">
        <v>164</v>
      </c>
      <c r="C142">
        <v>7194862783</v>
      </c>
      <c r="D142">
        <v>3</v>
      </c>
      <c r="E142">
        <v>0</v>
      </c>
      <c r="F142">
        <v>50</v>
      </c>
      <c r="G142">
        <v>53</v>
      </c>
      <c r="H142">
        <v>4.8079749999999999</v>
      </c>
      <c r="I142">
        <v>-74.069312999999994</v>
      </c>
      <c r="J142">
        <f t="shared" si="4"/>
        <v>0</v>
      </c>
      <c r="K142">
        <f t="shared" si="5"/>
        <v>1</v>
      </c>
    </row>
    <row r="143" spans="1:11" x14ac:dyDescent="0.25">
      <c r="A143">
        <v>79</v>
      </c>
      <c r="C143">
        <v>7194873485</v>
      </c>
      <c r="D143">
        <v>33</v>
      </c>
      <c r="E143">
        <v>11</v>
      </c>
      <c r="F143">
        <v>10</v>
      </c>
      <c r="G143">
        <v>54</v>
      </c>
      <c r="H143">
        <v>4.6733310000000001</v>
      </c>
      <c r="I143">
        <v>-74.053589000000002</v>
      </c>
      <c r="J143">
        <f t="shared" si="4"/>
        <v>1</v>
      </c>
      <c r="K143">
        <f t="shared" si="5"/>
        <v>1</v>
      </c>
    </row>
    <row r="144" spans="1:11" hidden="1" x14ac:dyDescent="0.25">
      <c r="A144">
        <v>33</v>
      </c>
      <c r="C144">
        <v>7194864183</v>
      </c>
      <c r="D144">
        <v>8</v>
      </c>
      <c r="E144">
        <v>47</v>
      </c>
      <c r="F144">
        <v>0</v>
      </c>
      <c r="G144">
        <v>55</v>
      </c>
      <c r="H144">
        <v>4.6310799999999999</v>
      </c>
      <c r="I144">
        <v>-74.092651000000004</v>
      </c>
      <c r="J144">
        <f t="shared" si="4"/>
        <v>0</v>
      </c>
      <c r="K144">
        <f t="shared" si="5"/>
        <v>1</v>
      </c>
    </row>
    <row r="145" spans="1:11" hidden="1" x14ac:dyDescent="0.25">
      <c r="A145">
        <v>69</v>
      </c>
      <c r="C145">
        <v>7194816466</v>
      </c>
      <c r="D145">
        <v>37</v>
      </c>
      <c r="E145">
        <v>20</v>
      </c>
      <c r="F145">
        <v>0</v>
      </c>
      <c r="G145">
        <v>57</v>
      </c>
      <c r="H145">
        <v>4.6637339999999998</v>
      </c>
      <c r="I145">
        <v>-74.079887999999997</v>
      </c>
      <c r="J145">
        <f t="shared" si="4"/>
        <v>0</v>
      </c>
      <c r="K145">
        <f t="shared" si="5"/>
        <v>1</v>
      </c>
    </row>
    <row r="146" spans="1:11" hidden="1" x14ac:dyDescent="0.25">
      <c r="A146">
        <v>20</v>
      </c>
      <c r="C146">
        <v>7194817079</v>
      </c>
      <c r="D146">
        <v>36</v>
      </c>
      <c r="E146">
        <v>22</v>
      </c>
      <c r="F146">
        <v>0</v>
      </c>
      <c r="G146">
        <v>58</v>
      </c>
      <c r="H146">
        <v>4.6236410000000001</v>
      </c>
      <c r="I146">
        <v>-74.082007000000004</v>
      </c>
      <c r="J146">
        <f t="shared" si="4"/>
        <v>0</v>
      </c>
      <c r="K146">
        <f t="shared" si="5"/>
        <v>1</v>
      </c>
    </row>
    <row r="147" spans="1:11" hidden="1" x14ac:dyDescent="0.25">
      <c r="A147">
        <v>160</v>
      </c>
      <c r="C147">
        <v>7194818415</v>
      </c>
      <c r="D147">
        <v>26</v>
      </c>
      <c r="E147">
        <v>32</v>
      </c>
      <c r="F147">
        <v>0</v>
      </c>
      <c r="G147">
        <v>58</v>
      </c>
      <c r="H147">
        <v>4.7953270000000003</v>
      </c>
      <c r="I147">
        <v>-74.046931000000001</v>
      </c>
      <c r="J147">
        <f t="shared" si="4"/>
        <v>0</v>
      </c>
      <c r="K147">
        <f t="shared" si="5"/>
        <v>1</v>
      </c>
    </row>
    <row r="148" spans="1:11" hidden="1" x14ac:dyDescent="0.25">
      <c r="A148">
        <v>29</v>
      </c>
      <c r="C148">
        <v>7194840804</v>
      </c>
      <c r="D148">
        <v>1</v>
      </c>
      <c r="E148">
        <v>59</v>
      </c>
      <c r="F148">
        <v>0</v>
      </c>
      <c r="G148">
        <v>60</v>
      </c>
      <c r="H148">
        <v>4.6299219999999996</v>
      </c>
      <c r="I148">
        <v>-74.112145999999996</v>
      </c>
      <c r="J148">
        <f t="shared" si="4"/>
        <v>0</v>
      </c>
      <c r="K148">
        <f t="shared" si="5"/>
        <v>1</v>
      </c>
    </row>
    <row r="149" spans="1:11" hidden="1" x14ac:dyDescent="0.25">
      <c r="A149">
        <v>59</v>
      </c>
      <c r="C149">
        <v>7194865225</v>
      </c>
      <c r="D149">
        <v>20</v>
      </c>
      <c r="E149">
        <v>40</v>
      </c>
      <c r="F149">
        <v>0</v>
      </c>
      <c r="G149">
        <v>60</v>
      </c>
      <c r="H149">
        <v>4.6565300000000001</v>
      </c>
      <c r="I149">
        <v>-74.060050000000004</v>
      </c>
      <c r="J149">
        <f t="shared" si="4"/>
        <v>0</v>
      </c>
      <c r="K149">
        <f t="shared" si="5"/>
        <v>1</v>
      </c>
    </row>
    <row r="150" spans="1:11" x14ac:dyDescent="0.25">
      <c r="A150">
        <v>66</v>
      </c>
      <c r="C150">
        <v>7194866155</v>
      </c>
      <c r="D150">
        <v>24</v>
      </c>
      <c r="E150">
        <v>27</v>
      </c>
      <c r="F150">
        <v>9</v>
      </c>
      <c r="G150">
        <v>60</v>
      </c>
      <c r="H150">
        <v>4.662871</v>
      </c>
      <c r="I150">
        <v>-74.052481999999998</v>
      </c>
      <c r="J150">
        <f t="shared" si="4"/>
        <v>1</v>
      </c>
      <c r="K150">
        <f t="shared" si="5"/>
        <v>1</v>
      </c>
    </row>
    <row r="151" spans="1:11" hidden="1" x14ac:dyDescent="0.25">
      <c r="A151">
        <v>141</v>
      </c>
      <c r="C151">
        <v>7194791756</v>
      </c>
      <c r="D151">
        <v>20</v>
      </c>
      <c r="E151">
        <v>42</v>
      </c>
      <c r="F151">
        <v>0</v>
      </c>
      <c r="G151">
        <v>62</v>
      </c>
      <c r="H151">
        <v>4.7391839999999998</v>
      </c>
      <c r="I151">
        <v>-74.178839999999994</v>
      </c>
      <c r="J151">
        <f t="shared" si="4"/>
        <v>0</v>
      </c>
      <c r="K151">
        <f t="shared" si="5"/>
        <v>1</v>
      </c>
    </row>
    <row r="152" spans="1:11" hidden="1" x14ac:dyDescent="0.25">
      <c r="A152">
        <v>27</v>
      </c>
      <c r="C152">
        <v>7194860564</v>
      </c>
      <c r="D152">
        <v>41</v>
      </c>
      <c r="E152">
        <v>23</v>
      </c>
      <c r="F152">
        <v>0</v>
      </c>
      <c r="G152">
        <v>64</v>
      </c>
      <c r="H152">
        <v>4.6290480000000001</v>
      </c>
      <c r="I152">
        <v>-74.063131999999996</v>
      </c>
      <c r="J152">
        <f t="shared" si="4"/>
        <v>0</v>
      </c>
      <c r="K152">
        <f t="shared" si="5"/>
        <v>1</v>
      </c>
    </row>
    <row r="153" spans="1:11" hidden="1" x14ac:dyDescent="0.25">
      <c r="A153">
        <v>93</v>
      </c>
      <c r="C153">
        <v>7194846863</v>
      </c>
      <c r="D153">
        <v>15</v>
      </c>
      <c r="E153">
        <v>50</v>
      </c>
      <c r="F153">
        <v>0</v>
      </c>
      <c r="G153">
        <v>65</v>
      </c>
      <c r="H153">
        <v>4.6906109999999996</v>
      </c>
      <c r="I153">
        <v>-74.038202999999996</v>
      </c>
      <c r="J153">
        <f t="shared" si="4"/>
        <v>0</v>
      </c>
      <c r="K153">
        <f t="shared" si="5"/>
        <v>1</v>
      </c>
    </row>
    <row r="154" spans="1:11" hidden="1" x14ac:dyDescent="0.25">
      <c r="A154">
        <v>235</v>
      </c>
      <c r="C154">
        <v>7194824295</v>
      </c>
      <c r="D154">
        <v>0</v>
      </c>
      <c r="E154">
        <v>57</v>
      </c>
      <c r="F154">
        <v>9</v>
      </c>
      <c r="G154">
        <v>66</v>
      </c>
      <c r="H154">
        <v>4.7501499999999997</v>
      </c>
      <c r="I154">
        <v>-74.065482000000003</v>
      </c>
      <c r="J154">
        <f t="shared" si="4"/>
        <v>0</v>
      </c>
      <c r="K154">
        <f t="shared" si="5"/>
        <v>1</v>
      </c>
    </row>
    <row r="155" spans="1:11" hidden="1" x14ac:dyDescent="0.25">
      <c r="A155">
        <v>19</v>
      </c>
      <c r="C155">
        <v>7194825082</v>
      </c>
      <c r="D155">
        <v>4</v>
      </c>
      <c r="E155">
        <v>63</v>
      </c>
      <c r="F155">
        <v>0</v>
      </c>
      <c r="G155">
        <v>67</v>
      </c>
      <c r="H155">
        <v>4.6229630000000004</v>
      </c>
      <c r="I155">
        <v>-74.077488000000002</v>
      </c>
      <c r="J155">
        <f t="shared" si="4"/>
        <v>0</v>
      </c>
      <c r="K155">
        <f t="shared" si="5"/>
        <v>1</v>
      </c>
    </row>
    <row r="156" spans="1:11" hidden="1" x14ac:dyDescent="0.25">
      <c r="A156">
        <v>99</v>
      </c>
      <c r="C156">
        <v>7194865290</v>
      </c>
      <c r="D156">
        <v>63</v>
      </c>
      <c r="E156">
        <v>5</v>
      </c>
      <c r="F156">
        <v>0</v>
      </c>
      <c r="G156">
        <v>68</v>
      </c>
      <c r="H156">
        <v>4.6935349999999998</v>
      </c>
      <c r="I156">
        <v>-74.134482000000006</v>
      </c>
      <c r="J156">
        <f t="shared" si="4"/>
        <v>0</v>
      </c>
      <c r="K156">
        <f t="shared" si="5"/>
        <v>1</v>
      </c>
    </row>
    <row r="157" spans="1:11" hidden="1" x14ac:dyDescent="0.25">
      <c r="A157">
        <v>76</v>
      </c>
      <c r="C157">
        <v>7194858466</v>
      </c>
      <c r="D157">
        <v>65</v>
      </c>
      <c r="E157">
        <v>11</v>
      </c>
      <c r="F157">
        <v>0</v>
      </c>
      <c r="G157">
        <v>76</v>
      </c>
      <c r="H157">
        <v>4.6697389999999999</v>
      </c>
      <c r="I157">
        <v>-74.053314999999998</v>
      </c>
      <c r="J157">
        <f t="shared" si="4"/>
        <v>0</v>
      </c>
      <c r="K157">
        <f t="shared" si="5"/>
        <v>1</v>
      </c>
    </row>
    <row r="158" spans="1:11" hidden="1" x14ac:dyDescent="0.25">
      <c r="A158">
        <v>114</v>
      </c>
      <c r="C158">
        <v>7194863841</v>
      </c>
      <c r="D158">
        <v>42</v>
      </c>
      <c r="E158">
        <v>36</v>
      </c>
      <c r="F158">
        <v>0</v>
      </c>
      <c r="G158">
        <v>78</v>
      </c>
      <c r="H158">
        <v>4.7022050000000002</v>
      </c>
      <c r="I158">
        <v>-74.042705999999995</v>
      </c>
      <c r="J158">
        <f t="shared" si="4"/>
        <v>0</v>
      </c>
      <c r="K158">
        <f t="shared" si="5"/>
        <v>1</v>
      </c>
    </row>
    <row r="159" spans="1:11" hidden="1" x14ac:dyDescent="0.25">
      <c r="A159">
        <v>13</v>
      </c>
      <c r="C159">
        <v>7194865107</v>
      </c>
      <c r="D159">
        <v>30</v>
      </c>
      <c r="E159">
        <v>50</v>
      </c>
      <c r="F159">
        <v>0</v>
      </c>
      <c r="G159">
        <v>80</v>
      </c>
      <c r="H159">
        <v>4.6114360000000003</v>
      </c>
      <c r="I159">
        <v>-74.077100000000002</v>
      </c>
      <c r="J159">
        <f t="shared" si="4"/>
        <v>0</v>
      </c>
      <c r="K159">
        <f t="shared" si="5"/>
        <v>1</v>
      </c>
    </row>
    <row r="160" spans="1:11" hidden="1" x14ac:dyDescent="0.25">
      <c r="A160">
        <v>51</v>
      </c>
      <c r="C160">
        <v>7194870304</v>
      </c>
      <c r="D160">
        <v>44</v>
      </c>
      <c r="E160">
        <v>36</v>
      </c>
      <c r="F160">
        <v>0</v>
      </c>
      <c r="G160">
        <v>80</v>
      </c>
      <c r="H160">
        <v>4.6515950000000004</v>
      </c>
      <c r="I160">
        <v>-74.106772000000007</v>
      </c>
      <c r="J160">
        <f t="shared" si="4"/>
        <v>0</v>
      </c>
      <c r="K160">
        <f t="shared" si="5"/>
        <v>1</v>
      </c>
    </row>
    <row r="161" spans="1:11" hidden="1" x14ac:dyDescent="0.25">
      <c r="A161">
        <v>126</v>
      </c>
      <c r="C161">
        <v>7194831183</v>
      </c>
      <c r="D161">
        <v>26</v>
      </c>
      <c r="E161">
        <v>58</v>
      </c>
      <c r="F161">
        <v>0</v>
      </c>
      <c r="G161">
        <v>84</v>
      </c>
      <c r="H161">
        <v>4.7172710000000002</v>
      </c>
      <c r="I161">
        <v>-74.046529000000007</v>
      </c>
      <c r="J161">
        <f t="shared" si="4"/>
        <v>0</v>
      </c>
      <c r="K161">
        <f t="shared" si="5"/>
        <v>1</v>
      </c>
    </row>
    <row r="162" spans="1:11" hidden="1" x14ac:dyDescent="0.25">
      <c r="A162">
        <v>2</v>
      </c>
      <c r="C162">
        <v>7194840436</v>
      </c>
      <c r="D162">
        <v>6</v>
      </c>
      <c r="E162">
        <v>79</v>
      </c>
      <c r="F162">
        <v>0</v>
      </c>
      <c r="G162">
        <v>85</v>
      </c>
      <c r="H162">
        <v>4.5765349999999998</v>
      </c>
      <c r="I162">
        <v>-74.091116</v>
      </c>
      <c r="J162">
        <f t="shared" si="4"/>
        <v>0</v>
      </c>
      <c r="K162">
        <f t="shared" si="5"/>
        <v>1</v>
      </c>
    </row>
    <row r="163" spans="1:11" hidden="1" x14ac:dyDescent="0.25">
      <c r="A163">
        <v>54</v>
      </c>
      <c r="C163">
        <v>7194847518</v>
      </c>
      <c r="D163">
        <v>53</v>
      </c>
      <c r="E163">
        <v>32</v>
      </c>
      <c r="F163">
        <v>0</v>
      </c>
      <c r="G163">
        <v>85</v>
      </c>
      <c r="H163">
        <v>4.6528479999999997</v>
      </c>
      <c r="I163">
        <v>-74.101584000000003</v>
      </c>
      <c r="J163">
        <f t="shared" si="4"/>
        <v>0</v>
      </c>
      <c r="K163">
        <f t="shared" si="5"/>
        <v>1</v>
      </c>
    </row>
    <row r="164" spans="1:11" hidden="1" x14ac:dyDescent="0.25">
      <c r="A164">
        <v>84</v>
      </c>
      <c r="C164">
        <v>7194831562</v>
      </c>
      <c r="D164">
        <v>26</v>
      </c>
      <c r="E164">
        <v>59</v>
      </c>
      <c r="F164">
        <v>0</v>
      </c>
      <c r="G164">
        <v>85</v>
      </c>
      <c r="H164">
        <v>4.6798380000000002</v>
      </c>
      <c r="I164">
        <v>-74.064344000000006</v>
      </c>
      <c r="J164">
        <f t="shared" si="4"/>
        <v>0</v>
      </c>
      <c r="K164">
        <f t="shared" si="5"/>
        <v>1</v>
      </c>
    </row>
    <row r="165" spans="1:11" hidden="1" x14ac:dyDescent="0.25">
      <c r="A165">
        <v>15</v>
      </c>
      <c r="C165">
        <v>7194869164</v>
      </c>
      <c r="D165">
        <v>14</v>
      </c>
      <c r="E165">
        <v>72</v>
      </c>
      <c r="F165">
        <v>0</v>
      </c>
      <c r="G165">
        <v>86</v>
      </c>
      <c r="H165">
        <v>4.6149940000000003</v>
      </c>
      <c r="I165">
        <v>-74.069455000000005</v>
      </c>
      <c r="J165">
        <f t="shared" si="4"/>
        <v>0</v>
      </c>
      <c r="K165">
        <f t="shared" si="5"/>
        <v>1</v>
      </c>
    </row>
    <row r="166" spans="1:11" hidden="1" x14ac:dyDescent="0.25">
      <c r="A166">
        <v>38</v>
      </c>
      <c r="C166">
        <v>7194816142</v>
      </c>
      <c r="D166">
        <v>59</v>
      </c>
      <c r="E166">
        <v>28</v>
      </c>
      <c r="F166">
        <v>0</v>
      </c>
      <c r="G166">
        <v>87</v>
      </c>
      <c r="H166">
        <v>4.6366180000000004</v>
      </c>
      <c r="I166">
        <v>-74.065062999999995</v>
      </c>
      <c r="J166">
        <f t="shared" si="4"/>
        <v>0</v>
      </c>
      <c r="K166">
        <f t="shared" si="5"/>
        <v>1</v>
      </c>
    </row>
    <row r="167" spans="1:11" hidden="1" x14ac:dyDescent="0.25">
      <c r="A167">
        <v>39</v>
      </c>
      <c r="C167">
        <v>7194869095</v>
      </c>
      <c r="D167">
        <v>17</v>
      </c>
      <c r="E167">
        <v>71</v>
      </c>
      <c r="F167">
        <v>0</v>
      </c>
      <c r="G167">
        <v>88</v>
      </c>
      <c r="H167">
        <v>4.6385800000000001</v>
      </c>
      <c r="I167">
        <v>-74.119645000000006</v>
      </c>
      <c r="J167">
        <f t="shared" si="4"/>
        <v>0</v>
      </c>
      <c r="K167">
        <f t="shared" si="5"/>
        <v>1</v>
      </c>
    </row>
    <row r="168" spans="1:11" x14ac:dyDescent="0.25">
      <c r="A168">
        <v>163</v>
      </c>
      <c r="C168">
        <v>7194863214</v>
      </c>
      <c r="D168">
        <v>19</v>
      </c>
      <c r="E168">
        <v>9</v>
      </c>
      <c r="F168">
        <v>60</v>
      </c>
      <c r="G168">
        <v>88</v>
      </c>
      <c r="H168">
        <v>4.8022340000000003</v>
      </c>
      <c r="I168">
        <v>-74.044822999999994</v>
      </c>
      <c r="J168">
        <f t="shared" si="4"/>
        <v>1</v>
      </c>
      <c r="K168">
        <f t="shared" si="5"/>
        <v>1</v>
      </c>
    </row>
    <row r="169" spans="1:11" x14ac:dyDescent="0.25">
      <c r="A169">
        <v>103</v>
      </c>
      <c r="C169">
        <v>7194859808</v>
      </c>
      <c r="D169">
        <v>52</v>
      </c>
      <c r="E169">
        <v>28</v>
      </c>
      <c r="F169">
        <v>9</v>
      </c>
      <c r="G169">
        <v>89</v>
      </c>
      <c r="H169">
        <v>4.696326</v>
      </c>
      <c r="I169">
        <v>-74.143739999999994</v>
      </c>
      <c r="J169">
        <f t="shared" si="4"/>
        <v>1</v>
      </c>
      <c r="K169">
        <f t="shared" si="5"/>
        <v>1</v>
      </c>
    </row>
    <row r="170" spans="1:11" hidden="1" x14ac:dyDescent="0.25">
      <c r="A170">
        <v>214</v>
      </c>
      <c r="C170">
        <v>7194831213</v>
      </c>
      <c r="D170">
        <v>0</v>
      </c>
      <c r="E170">
        <v>84</v>
      </c>
      <c r="F170">
        <v>6</v>
      </c>
      <c r="G170">
        <v>90</v>
      </c>
      <c r="H170">
        <v>4.6886400000000004</v>
      </c>
      <c r="I170">
        <v>-74.048338000000001</v>
      </c>
      <c r="J170">
        <f t="shared" si="4"/>
        <v>0</v>
      </c>
      <c r="K170">
        <f t="shared" si="5"/>
        <v>1</v>
      </c>
    </row>
    <row r="171" spans="1:11" hidden="1" x14ac:dyDescent="0.25">
      <c r="A171">
        <v>60</v>
      </c>
      <c r="C171">
        <v>7194850044</v>
      </c>
      <c r="D171">
        <v>65</v>
      </c>
      <c r="E171">
        <v>32</v>
      </c>
      <c r="F171">
        <v>0</v>
      </c>
      <c r="G171">
        <v>97</v>
      </c>
      <c r="H171">
        <v>4.6570819999999999</v>
      </c>
      <c r="I171">
        <v>-74.056055999999998</v>
      </c>
      <c r="J171">
        <f t="shared" si="4"/>
        <v>0</v>
      </c>
      <c r="K171">
        <f t="shared" si="5"/>
        <v>1</v>
      </c>
    </row>
    <row r="172" spans="1:11" hidden="1" x14ac:dyDescent="0.25">
      <c r="A172">
        <v>142</v>
      </c>
      <c r="C172">
        <v>7194859993</v>
      </c>
      <c r="D172">
        <v>33</v>
      </c>
      <c r="E172">
        <v>68</v>
      </c>
      <c r="F172">
        <v>0</v>
      </c>
      <c r="G172">
        <v>101</v>
      </c>
      <c r="H172">
        <v>4.739725</v>
      </c>
      <c r="I172">
        <v>-74.239041</v>
      </c>
      <c r="J172">
        <f t="shared" si="4"/>
        <v>0</v>
      </c>
      <c r="K172">
        <f t="shared" si="5"/>
        <v>1</v>
      </c>
    </row>
    <row r="173" spans="1:11" hidden="1" x14ac:dyDescent="0.25">
      <c r="A173">
        <v>102</v>
      </c>
      <c r="C173">
        <v>7194867028</v>
      </c>
      <c r="D173">
        <v>25</v>
      </c>
      <c r="E173">
        <v>79</v>
      </c>
      <c r="F173">
        <v>0</v>
      </c>
      <c r="G173">
        <v>104</v>
      </c>
      <c r="H173">
        <v>4.696072</v>
      </c>
      <c r="I173">
        <v>-74.142893999999998</v>
      </c>
      <c r="J173">
        <f t="shared" si="4"/>
        <v>0</v>
      </c>
      <c r="K173">
        <f t="shared" si="5"/>
        <v>1</v>
      </c>
    </row>
    <row r="174" spans="1:11" x14ac:dyDescent="0.25">
      <c r="A174">
        <v>55</v>
      </c>
      <c r="C174">
        <v>7194858461</v>
      </c>
      <c r="D174">
        <v>29</v>
      </c>
      <c r="E174">
        <v>71</v>
      </c>
      <c r="F174">
        <v>9</v>
      </c>
      <c r="G174">
        <v>109</v>
      </c>
      <c r="H174">
        <v>4.6540350000000004</v>
      </c>
      <c r="I174">
        <v>-74.043012000000004</v>
      </c>
      <c r="J174">
        <f t="shared" si="4"/>
        <v>1</v>
      </c>
      <c r="K174">
        <f t="shared" si="5"/>
        <v>1</v>
      </c>
    </row>
    <row r="175" spans="1:11" hidden="1" x14ac:dyDescent="0.25">
      <c r="A175">
        <v>49</v>
      </c>
      <c r="C175">
        <v>7194826177</v>
      </c>
      <c r="D175">
        <v>25</v>
      </c>
      <c r="E175">
        <v>88</v>
      </c>
      <c r="F175">
        <v>0</v>
      </c>
      <c r="G175">
        <v>113</v>
      </c>
      <c r="H175">
        <v>4.6502090000000003</v>
      </c>
      <c r="I175">
        <v>-74.122673000000006</v>
      </c>
      <c r="J175">
        <f t="shared" si="4"/>
        <v>0</v>
      </c>
      <c r="K175">
        <f t="shared" si="5"/>
        <v>1</v>
      </c>
    </row>
    <row r="176" spans="1:11" hidden="1" x14ac:dyDescent="0.25">
      <c r="A176">
        <v>92</v>
      </c>
      <c r="C176">
        <v>7194860895</v>
      </c>
      <c r="D176">
        <v>16</v>
      </c>
      <c r="E176">
        <v>99</v>
      </c>
      <c r="F176">
        <v>0</v>
      </c>
      <c r="G176">
        <v>115</v>
      </c>
      <c r="H176">
        <v>4.6895699999999998</v>
      </c>
      <c r="I176">
        <v>-74.130313000000001</v>
      </c>
      <c r="J176">
        <f t="shared" si="4"/>
        <v>0</v>
      </c>
      <c r="K176">
        <f t="shared" si="5"/>
        <v>1</v>
      </c>
    </row>
    <row r="177" spans="1:11" x14ac:dyDescent="0.25">
      <c r="A177">
        <v>77</v>
      </c>
      <c r="C177">
        <v>7194869486</v>
      </c>
      <c r="D177">
        <v>22</v>
      </c>
      <c r="E177">
        <v>78</v>
      </c>
      <c r="F177">
        <v>18</v>
      </c>
      <c r="G177">
        <v>118</v>
      </c>
      <c r="H177">
        <v>4.6712829999999999</v>
      </c>
      <c r="I177">
        <v>-74.081180000000003</v>
      </c>
      <c r="J177">
        <f t="shared" si="4"/>
        <v>1</v>
      </c>
      <c r="K177">
        <f t="shared" si="5"/>
        <v>1</v>
      </c>
    </row>
    <row r="178" spans="1:11" x14ac:dyDescent="0.25">
      <c r="A178">
        <v>161</v>
      </c>
      <c r="C178">
        <v>7194869635</v>
      </c>
      <c r="D178">
        <v>2</v>
      </c>
      <c r="E178">
        <v>112</v>
      </c>
      <c r="F178">
        <v>5</v>
      </c>
      <c r="G178">
        <v>119</v>
      </c>
      <c r="H178">
        <v>4.7961859999999996</v>
      </c>
      <c r="I178">
        <v>-74.190698999999995</v>
      </c>
      <c r="J178">
        <f t="shared" si="4"/>
        <v>1</v>
      </c>
      <c r="K178">
        <f t="shared" si="5"/>
        <v>1</v>
      </c>
    </row>
    <row r="179" spans="1:11" hidden="1" x14ac:dyDescent="0.25">
      <c r="A179">
        <v>140</v>
      </c>
      <c r="C179">
        <v>7194839636</v>
      </c>
      <c r="D179">
        <v>7</v>
      </c>
      <c r="E179">
        <v>119</v>
      </c>
      <c r="F179">
        <v>0</v>
      </c>
      <c r="G179">
        <v>126</v>
      </c>
      <c r="H179">
        <v>4.7387600000000001</v>
      </c>
      <c r="I179">
        <v>-74.137321</v>
      </c>
      <c r="J179">
        <f t="shared" si="4"/>
        <v>0</v>
      </c>
      <c r="K179">
        <f t="shared" si="5"/>
        <v>1</v>
      </c>
    </row>
    <row r="180" spans="1:11" x14ac:dyDescent="0.25">
      <c r="A180">
        <v>4</v>
      </c>
      <c r="C180">
        <v>7194818312</v>
      </c>
      <c r="D180">
        <v>78</v>
      </c>
      <c r="E180">
        <v>37</v>
      </c>
      <c r="F180">
        <v>12</v>
      </c>
      <c r="G180">
        <v>127</v>
      </c>
      <c r="H180">
        <v>4.5831359999999997</v>
      </c>
      <c r="I180">
        <v>-74.105939000000006</v>
      </c>
      <c r="J180">
        <f t="shared" si="4"/>
        <v>1</v>
      </c>
      <c r="K180">
        <f t="shared" si="5"/>
        <v>1</v>
      </c>
    </row>
    <row r="181" spans="1:11" hidden="1" x14ac:dyDescent="0.25">
      <c r="A181">
        <v>108</v>
      </c>
      <c r="C181">
        <v>7194870209</v>
      </c>
      <c r="D181">
        <v>110</v>
      </c>
      <c r="E181">
        <v>24</v>
      </c>
      <c r="F181">
        <v>0</v>
      </c>
      <c r="G181">
        <v>134</v>
      </c>
      <c r="H181">
        <v>4.6978030000000004</v>
      </c>
      <c r="I181">
        <v>-74.038591999999994</v>
      </c>
      <c r="J181">
        <f t="shared" si="4"/>
        <v>0</v>
      </c>
      <c r="K181">
        <f t="shared" si="5"/>
        <v>1</v>
      </c>
    </row>
    <row r="182" spans="1:11" hidden="1" x14ac:dyDescent="0.25">
      <c r="A182">
        <v>98</v>
      </c>
      <c r="C182">
        <v>7194866138</v>
      </c>
      <c r="D182">
        <v>107</v>
      </c>
      <c r="E182">
        <v>30</v>
      </c>
      <c r="F182">
        <v>0</v>
      </c>
      <c r="G182">
        <v>137</v>
      </c>
      <c r="H182">
        <v>4.6934019999999999</v>
      </c>
      <c r="I182">
        <v>-74.034571</v>
      </c>
      <c r="J182">
        <f t="shared" si="4"/>
        <v>0</v>
      </c>
      <c r="K182">
        <f t="shared" si="5"/>
        <v>1</v>
      </c>
    </row>
    <row r="183" spans="1:11" x14ac:dyDescent="0.25">
      <c r="A183">
        <v>119</v>
      </c>
      <c r="C183">
        <v>7194838083</v>
      </c>
      <c r="D183">
        <v>17</v>
      </c>
      <c r="E183">
        <v>120</v>
      </c>
      <c r="F183">
        <v>2</v>
      </c>
      <c r="G183">
        <v>139</v>
      </c>
      <c r="H183">
        <v>4.7063329999999999</v>
      </c>
      <c r="I183">
        <v>-74.050922999999997</v>
      </c>
      <c r="J183">
        <f t="shared" si="4"/>
        <v>1</v>
      </c>
      <c r="K183">
        <f t="shared" si="5"/>
        <v>1</v>
      </c>
    </row>
    <row r="184" spans="1:11" x14ac:dyDescent="0.25">
      <c r="A184">
        <v>152</v>
      </c>
      <c r="C184">
        <v>7194825918</v>
      </c>
      <c r="D184">
        <v>24</v>
      </c>
      <c r="E184">
        <v>76</v>
      </c>
      <c r="F184">
        <v>39</v>
      </c>
      <c r="G184">
        <v>139</v>
      </c>
      <c r="H184">
        <v>4.7682669999999998</v>
      </c>
      <c r="I184">
        <v>-74.145319000000001</v>
      </c>
      <c r="J184">
        <f t="shared" si="4"/>
        <v>1</v>
      </c>
      <c r="K184">
        <f t="shared" si="5"/>
        <v>1</v>
      </c>
    </row>
    <row r="185" spans="1:11" hidden="1" x14ac:dyDescent="0.25">
      <c r="A185">
        <v>155</v>
      </c>
      <c r="C185">
        <v>7194821466</v>
      </c>
      <c r="D185">
        <v>103</v>
      </c>
      <c r="E185">
        <v>39</v>
      </c>
      <c r="F185">
        <v>0</v>
      </c>
      <c r="G185">
        <v>142</v>
      </c>
      <c r="H185">
        <v>4.7778539999999996</v>
      </c>
      <c r="I185">
        <v>-74.182815000000005</v>
      </c>
      <c r="J185">
        <f t="shared" si="4"/>
        <v>0</v>
      </c>
      <c r="K185">
        <f t="shared" si="5"/>
        <v>1</v>
      </c>
    </row>
    <row r="186" spans="1:11" hidden="1" x14ac:dyDescent="0.25">
      <c r="A186">
        <v>94</v>
      </c>
      <c r="C186">
        <v>7194850518</v>
      </c>
      <c r="D186">
        <v>82</v>
      </c>
      <c r="E186">
        <v>62</v>
      </c>
      <c r="F186">
        <v>0</v>
      </c>
      <c r="G186">
        <v>144</v>
      </c>
      <c r="H186">
        <v>4.690849</v>
      </c>
      <c r="I186">
        <v>-74.148673000000002</v>
      </c>
      <c r="J186">
        <f t="shared" si="4"/>
        <v>0</v>
      </c>
      <c r="K186">
        <f t="shared" si="5"/>
        <v>1</v>
      </c>
    </row>
    <row r="187" spans="1:11" hidden="1" x14ac:dyDescent="0.25">
      <c r="A187">
        <v>167</v>
      </c>
      <c r="C187">
        <v>7194824245</v>
      </c>
      <c r="D187">
        <v>2</v>
      </c>
      <c r="E187">
        <v>145</v>
      </c>
      <c r="F187">
        <v>0</v>
      </c>
      <c r="G187">
        <v>147</v>
      </c>
      <c r="H187">
        <v>4.8659999999999997</v>
      </c>
      <c r="I187">
        <v>-73.955799999999996</v>
      </c>
      <c r="J187">
        <f t="shared" si="4"/>
        <v>0</v>
      </c>
      <c r="K187">
        <f t="shared" si="5"/>
        <v>1</v>
      </c>
    </row>
    <row r="188" spans="1:11" hidden="1" x14ac:dyDescent="0.25">
      <c r="A188">
        <v>86</v>
      </c>
      <c r="C188">
        <v>7194839241</v>
      </c>
      <c r="D188">
        <v>2</v>
      </c>
      <c r="E188">
        <v>148</v>
      </c>
      <c r="F188">
        <v>0</v>
      </c>
      <c r="G188">
        <v>150</v>
      </c>
      <c r="H188">
        <v>4.6825570000000001</v>
      </c>
      <c r="I188">
        <v>-74.134210999999993</v>
      </c>
      <c r="J188">
        <f t="shared" si="4"/>
        <v>0</v>
      </c>
      <c r="K188">
        <f t="shared" si="5"/>
        <v>1</v>
      </c>
    </row>
    <row r="189" spans="1:11" hidden="1" x14ac:dyDescent="0.25">
      <c r="A189">
        <v>8</v>
      </c>
      <c r="C189">
        <v>7194867817</v>
      </c>
      <c r="D189">
        <v>6</v>
      </c>
      <c r="E189">
        <v>150</v>
      </c>
      <c r="F189">
        <v>0</v>
      </c>
      <c r="G189">
        <v>156</v>
      </c>
      <c r="H189">
        <v>4.599297</v>
      </c>
      <c r="I189">
        <v>-74.142263</v>
      </c>
      <c r="J189">
        <f t="shared" si="4"/>
        <v>0</v>
      </c>
      <c r="K189">
        <f t="shared" si="5"/>
        <v>1</v>
      </c>
    </row>
    <row r="190" spans="1:11" hidden="1" x14ac:dyDescent="0.25">
      <c r="A190">
        <v>169</v>
      </c>
      <c r="C190">
        <v>7194867930</v>
      </c>
      <c r="D190">
        <v>102</v>
      </c>
      <c r="E190">
        <v>54</v>
      </c>
      <c r="F190">
        <v>0</v>
      </c>
      <c r="G190">
        <v>156</v>
      </c>
      <c r="H190">
        <v>4.8871969999999996</v>
      </c>
      <c r="I190">
        <v>-73.963700000000003</v>
      </c>
      <c r="J190">
        <f t="shared" si="4"/>
        <v>0</v>
      </c>
      <c r="K190">
        <f t="shared" si="5"/>
        <v>1</v>
      </c>
    </row>
    <row r="191" spans="1:11" hidden="1" x14ac:dyDescent="0.25">
      <c r="A191">
        <v>3</v>
      </c>
      <c r="C191">
        <v>7194866739</v>
      </c>
      <c r="D191">
        <v>3</v>
      </c>
      <c r="E191">
        <v>158</v>
      </c>
      <c r="F191">
        <v>0</v>
      </c>
      <c r="G191">
        <v>161</v>
      </c>
      <c r="H191">
        <v>4.5795170000000001</v>
      </c>
      <c r="I191">
        <v>-74.125364000000005</v>
      </c>
      <c r="J191">
        <f t="shared" si="4"/>
        <v>0</v>
      </c>
      <c r="K191">
        <f t="shared" si="5"/>
        <v>1</v>
      </c>
    </row>
    <row r="192" spans="1:11" x14ac:dyDescent="0.25">
      <c r="A192">
        <v>28</v>
      </c>
      <c r="C192">
        <v>7194862671</v>
      </c>
      <c r="D192">
        <v>16</v>
      </c>
      <c r="E192">
        <v>145</v>
      </c>
      <c r="F192">
        <v>10</v>
      </c>
      <c r="G192">
        <v>171</v>
      </c>
      <c r="H192">
        <v>4.6292799999999996</v>
      </c>
      <c r="I192">
        <v>-74.105988999999994</v>
      </c>
      <c r="J192">
        <f t="shared" si="4"/>
        <v>1</v>
      </c>
      <c r="K192">
        <f t="shared" si="5"/>
        <v>1</v>
      </c>
    </row>
    <row r="193" spans="1:11" hidden="1" x14ac:dyDescent="0.25">
      <c r="A193">
        <v>37</v>
      </c>
      <c r="C193">
        <v>7194802793</v>
      </c>
      <c r="D193">
        <v>1</v>
      </c>
      <c r="E193">
        <v>170</v>
      </c>
      <c r="F193">
        <v>0</v>
      </c>
      <c r="G193">
        <v>171</v>
      </c>
      <c r="H193">
        <v>4.6333570000000002</v>
      </c>
      <c r="I193">
        <v>-74.117958999999999</v>
      </c>
      <c r="J193">
        <f t="shared" si="4"/>
        <v>0</v>
      </c>
      <c r="K193">
        <f t="shared" si="5"/>
        <v>1</v>
      </c>
    </row>
    <row r="194" spans="1:11" hidden="1" x14ac:dyDescent="0.25">
      <c r="A194">
        <v>107</v>
      </c>
      <c r="C194">
        <v>7194867044</v>
      </c>
      <c r="D194">
        <v>1</v>
      </c>
      <c r="E194">
        <v>198</v>
      </c>
      <c r="F194">
        <v>0</v>
      </c>
      <c r="G194">
        <v>199</v>
      </c>
      <c r="H194">
        <v>4.6975939999999996</v>
      </c>
      <c r="I194">
        <v>-74.139038999999997</v>
      </c>
      <c r="J194">
        <f t="shared" ref="J194:J212" si="6">IF(AND(D194&gt;=1,E194&gt;=1,F194&gt;=1),1,0)</f>
        <v>0</v>
      </c>
      <c r="K194">
        <f t="shared" ref="K194:K212" si="7">IF((D194&gt;=1)+(E194&gt;=1)+(F194&gt;=1)&gt;=2,1,0)</f>
        <v>1</v>
      </c>
    </row>
    <row r="195" spans="1:11" hidden="1" x14ac:dyDescent="0.25">
      <c r="A195">
        <v>36</v>
      </c>
      <c r="C195">
        <v>7194862665</v>
      </c>
      <c r="D195">
        <v>35</v>
      </c>
      <c r="E195">
        <v>168</v>
      </c>
      <c r="F195">
        <v>0</v>
      </c>
      <c r="G195">
        <v>203</v>
      </c>
      <c r="H195">
        <v>4.6331030000000002</v>
      </c>
      <c r="I195">
        <v>-74.156147000000004</v>
      </c>
      <c r="J195">
        <f t="shared" si="6"/>
        <v>0</v>
      </c>
      <c r="K195">
        <f t="shared" si="7"/>
        <v>1</v>
      </c>
    </row>
    <row r="196" spans="1:11" hidden="1" x14ac:dyDescent="0.25">
      <c r="A196">
        <v>154</v>
      </c>
      <c r="C196">
        <v>7194865820</v>
      </c>
      <c r="D196">
        <v>69</v>
      </c>
      <c r="E196">
        <v>172</v>
      </c>
      <c r="F196">
        <v>0</v>
      </c>
      <c r="G196">
        <v>241</v>
      </c>
      <c r="H196">
        <v>4.7753509999999997</v>
      </c>
      <c r="I196">
        <v>-74.14049</v>
      </c>
      <c r="J196">
        <f t="shared" si="6"/>
        <v>0</v>
      </c>
      <c r="K196">
        <f t="shared" si="7"/>
        <v>1</v>
      </c>
    </row>
    <row r="197" spans="1:11" hidden="1" x14ac:dyDescent="0.25">
      <c r="A197">
        <v>73</v>
      </c>
      <c r="C197">
        <v>7194830323</v>
      </c>
      <c r="D197">
        <v>61</v>
      </c>
      <c r="E197">
        <v>181</v>
      </c>
      <c r="F197">
        <v>0</v>
      </c>
      <c r="G197">
        <v>242</v>
      </c>
      <c r="H197">
        <v>4.6688489999999998</v>
      </c>
      <c r="I197">
        <v>-74.056647999999996</v>
      </c>
      <c r="J197">
        <f t="shared" si="6"/>
        <v>0</v>
      </c>
      <c r="K197">
        <f t="shared" si="7"/>
        <v>1</v>
      </c>
    </row>
    <row r="198" spans="1:11" hidden="1" x14ac:dyDescent="0.25">
      <c r="A198">
        <v>120</v>
      </c>
      <c r="C198">
        <v>7194838368</v>
      </c>
      <c r="D198">
        <v>55</v>
      </c>
      <c r="E198">
        <v>191</v>
      </c>
      <c r="F198">
        <v>0</v>
      </c>
      <c r="G198">
        <v>246</v>
      </c>
      <c r="H198">
        <v>4.7064570000000003</v>
      </c>
      <c r="I198">
        <v>-74.051321999999999</v>
      </c>
      <c r="J198">
        <f t="shared" si="6"/>
        <v>0</v>
      </c>
      <c r="K198">
        <f t="shared" si="7"/>
        <v>1</v>
      </c>
    </row>
    <row r="199" spans="1:11" hidden="1" x14ac:dyDescent="0.25">
      <c r="A199">
        <v>112</v>
      </c>
      <c r="C199">
        <v>7194865133</v>
      </c>
      <c r="D199">
        <v>184</v>
      </c>
      <c r="E199">
        <v>67</v>
      </c>
      <c r="F199">
        <v>0</v>
      </c>
      <c r="G199">
        <v>251</v>
      </c>
      <c r="H199">
        <v>4.7021290000000002</v>
      </c>
      <c r="I199">
        <v>-74.082421999999994</v>
      </c>
      <c r="J199">
        <f t="shared" si="6"/>
        <v>0</v>
      </c>
      <c r="K199">
        <f t="shared" si="7"/>
        <v>1</v>
      </c>
    </row>
    <row r="200" spans="1:11" hidden="1" x14ac:dyDescent="0.25">
      <c r="A200">
        <v>25</v>
      </c>
      <c r="C200">
        <v>7194860631</v>
      </c>
      <c r="D200">
        <v>145</v>
      </c>
      <c r="E200">
        <v>115</v>
      </c>
      <c r="F200">
        <v>0</v>
      </c>
      <c r="G200">
        <v>260</v>
      </c>
      <c r="H200">
        <v>4.6269130000000001</v>
      </c>
      <c r="I200">
        <v>-74.064733000000004</v>
      </c>
      <c r="J200">
        <f t="shared" si="6"/>
        <v>0</v>
      </c>
      <c r="K200">
        <f t="shared" si="7"/>
        <v>1</v>
      </c>
    </row>
    <row r="201" spans="1:11" hidden="1" x14ac:dyDescent="0.25">
      <c r="A201">
        <v>43</v>
      </c>
      <c r="C201">
        <v>7194868925</v>
      </c>
      <c r="D201">
        <v>2</v>
      </c>
      <c r="E201">
        <v>271</v>
      </c>
      <c r="F201">
        <v>0</v>
      </c>
      <c r="G201">
        <v>273</v>
      </c>
      <c r="H201">
        <v>4.6410830000000001</v>
      </c>
      <c r="I201">
        <v>-74.114226000000002</v>
      </c>
      <c r="J201">
        <f t="shared" si="6"/>
        <v>0</v>
      </c>
      <c r="K201">
        <f t="shared" si="7"/>
        <v>1</v>
      </c>
    </row>
    <row r="202" spans="1:11" hidden="1" x14ac:dyDescent="0.25">
      <c r="A202">
        <v>31</v>
      </c>
      <c r="C202">
        <v>7194865698</v>
      </c>
      <c r="D202">
        <v>16</v>
      </c>
      <c r="E202">
        <v>269</v>
      </c>
      <c r="F202">
        <v>0</v>
      </c>
      <c r="G202">
        <v>285</v>
      </c>
      <c r="H202">
        <v>4.6304800000000004</v>
      </c>
      <c r="I202">
        <v>-74.092879999999994</v>
      </c>
      <c r="J202">
        <f t="shared" si="6"/>
        <v>0</v>
      </c>
      <c r="K202">
        <f t="shared" si="7"/>
        <v>1</v>
      </c>
    </row>
    <row r="203" spans="1:11" hidden="1" x14ac:dyDescent="0.25">
      <c r="A203">
        <v>70</v>
      </c>
      <c r="C203">
        <v>7194865583</v>
      </c>
      <c r="D203">
        <v>39</v>
      </c>
      <c r="E203">
        <v>246</v>
      </c>
      <c r="F203">
        <v>0</v>
      </c>
      <c r="G203">
        <v>285</v>
      </c>
      <c r="H203">
        <v>4.6646330000000003</v>
      </c>
      <c r="I203">
        <v>-74.078505000000007</v>
      </c>
      <c r="J203">
        <f t="shared" si="6"/>
        <v>0</v>
      </c>
      <c r="K203">
        <f t="shared" si="7"/>
        <v>1</v>
      </c>
    </row>
    <row r="204" spans="1:11" hidden="1" x14ac:dyDescent="0.25">
      <c r="A204">
        <v>83</v>
      </c>
      <c r="C204">
        <v>7194837268</v>
      </c>
      <c r="D204">
        <v>35</v>
      </c>
      <c r="E204">
        <v>272</v>
      </c>
      <c r="F204">
        <v>0</v>
      </c>
      <c r="G204">
        <v>307</v>
      </c>
      <c r="H204">
        <v>4.678858</v>
      </c>
      <c r="I204">
        <v>-74.127341999999999</v>
      </c>
      <c r="J204">
        <f t="shared" si="6"/>
        <v>0</v>
      </c>
      <c r="K204">
        <f t="shared" si="7"/>
        <v>1</v>
      </c>
    </row>
    <row r="205" spans="1:11" hidden="1" x14ac:dyDescent="0.25">
      <c r="A205">
        <v>145</v>
      </c>
      <c r="C205">
        <v>7194868164</v>
      </c>
      <c r="D205">
        <v>33</v>
      </c>
      <c r="E205">
        <v>274</v>
      </c>
      <c r="F205">
        <v>0</v>
      </c>
      <c r="G205">
        <v>307</v>
      </c>
      <c r="H205">
        <v>4.7471449999999997</v>
      </c>
      <c r="I205">
        <v>-74.036225999999999</v>
      </c>
      <c r="J205">
        <f t="shared" si="6"/>
        <v>0</v>
      </c>
      <c r="K205">
        <f t="shared" si="7"/>
        <v>1</v>
      </c>
    </row>
    <row r="206" spans="1:11" x14ac:dyDescent="0.25">
      <c r="A206">
        <v>133</v>
      </c>
      <c r="C206">
        <v>7194863853</v>
      </c>
      <c r="D206">
        <v>22</v>
      </c>
      <c r="E206">
        <v>280</v>
      </c>
      <c r="F206">
        <v>15</v>
      </c>
      <c r="G206">
        <v>317</v>
      </c>
      <c r="H206">
        <v>4.7324999999999999</v>
      </c>
      <c r="I206">
        <v>-74.065488000000002</v>
      </c>
      <c r="J206">
        <f t="shared" si="6"/>
        <v>1</v>
      </c>
      <c r="K206">
        <f t="shared" si="7"/>
        <v>1</v>
      </c>
    </row>
    <row r="207" spans="1:11" hidden="1" x14ac:dyDescent="0.25">
      <c r="A207">
        <v>23</v>
      </c>
      <c r="C207">
        <v>7194841659</v>
      </c>
      <c r="D207">
        <v>17</v>
      </c>
      <c r="E207">
        <v>324</v>
      </c>
      <c r="F207">
        <v>0</v>
      </c>
      <c r="G207">
        <v>341</v>
      </c>
      <c r="H207">
        <v>4.6263579999999997</v>
      </c>
      <c r="I207">
        <v>-74.102267999999995</v>
      </c>
      <c r="J207">
        <f t="shared" si="6"/>
        <v>0</v>
      </c>
      <c r="K207">
        <f t="shared" si="7"/>
        <v>1</v>
      </c>
    </row>
    <row r="208" spans="1:11" x14ac:dyDescent="0.25">
      <c r="A208">
        <v>162</v>
      </c>
      <c r="C208">
        <v>7194866333</v>
      </c>
      <c r="D208">
        <v>6</v>
      </c>
      <c r="E208">
        <v>383</v>
      </c>
      <c r="F208">
        <v>20</v>
      </c>
      <c r="G208">
        <v>409</v>
      </c>
      <c r="H208">
        <v>4.7967040000000001</v>
      </c>
      <c r="I208">
        <v>-74.210752999999997</v>
      </c>
      <c r="J208">
        <f t="shared" si="6"/>
        <v>1</v>
      </c>
      <c r="K208">
        <f t="shared" si="7"/>
        <v>1</v>
      </c>
    </row>
    <row r="209" spans="1:11" hidden="1" x14ac:dyDescent="0.25">
      <c r="A209">
        <v>109</v>
      </c>
      <c r="C209">
        <v>7194836905</v>
      </c>
      <c r="D209">
        <v>67</v>
      </c>
      <c r="E209">
        <v>433</v>
      </c>
      <c r="F209">
        <v>0</v>
      </c>
      <c r="G209">
        <v>500</v>
      </c>
      <c r="H209">
        <v>4.6984589999999997</v>
      </c>
      <c r="I209">
        <v>-74.072867000000002</v>
      </c>
      <c r="J209">
        <f t="shared" si="6"/>
        <v>0</v>
      </c>
      <c r="K209">
        <f t="shared" si="7"/>
        <v>1</v>
      </c>
    </row>
    <row r="210" spans="1:11" hidden="1" x14ac:dyDescent="0.25">
      <c r="A210">
        <v>48</v>
      </c>
      <c r="C210">
        <v>7194838571</v>
      </c>
      <c r="D210">
        <v>118</v>
      </c>
      <c r="E210">
        <v>440</v>
      </c>
      <c r="F210">
        <v>0</v>
      </c>
      <c r="G210">
        <v>558</v>
      </c>
      <c r="H210">
        <v>4.6471479999999996</v>
      </c>
      <c r="I210">
        <v>-74.105746999999994</v>
      </c>
      <c r="J210">
        <f t="shared" si="6"/>
        <v>0</v>
      </c>
      <c r="K210">
        <f t="shared" si="7"/>
        <v>1</v>
      </c>
    </row>
    <row r="211" spans="1:11" hidden="1" x14ac:dyDescent="0.25">
      <c r="A211">
        <v>24</v>
      </c>
      <c r="C211">
        <v>7194865812</v>
      </c>
      <c r="D211">
        <v>88</v>
      </c>
      <c r="E211">
        <v>545</v>
      </c>
      <c r="F211">
        <v>0</v>
      </c>
      <c r="G211">
        <v>633</v>
      </c>
      <c r="H211">
        <v>4.626544</v>
      </c>
      <c r="I211">
        <v>-74.104303000000002</v>
      </c>
      <c r="J211">
        <f t="shared" si="6"/>
        <v>0</v>
      </c>
      <c r="K211">
        <f t="shared" si="7"/>
        <v>1</v>
      </c>
    </row>
    <row r="212" spans="1:11" x14ac:dyDescent="0.25">
      <c r="A212">
        <v>82</v>
      </c>
      <c r="C212">
        <v>7194867721</v>
      </c>
      <c r="D212">
        <v>97</v>
      </c>
      <c r="E212">
        <v>791</v>
      </c>
      <c r="F212">
        <v>23</v>
      </c>
      <c r="G212">
        <v>911</v>
      </c>
      <c r="H212">
        <v>4.6772159999999996</v>
      </c>
      <c r="I212">
        <v>-74.137641000000002</v>
      </c>
      <c r="J212">
        <f t="shared" si="6"/>
        <v>1</v>
      </c>
      <c r="K212">
        <f t="shared" si="7"/>
        <v>1</v>
      </c>
    </row>
    <row r="213" spans="1:11" hidden="1" x14ac:dyDescent="0.25">
      <c r="G213">
        <f>SUM(G2:G212)</f>
        <v>23192</v>
      </c>
    </row>
  </sheetData>
  <autoFilter ref="A1:K213" xr:uid="{3DE9133A-E023-46BF-AAB6-EE76900B2647}">
    <filterColumn colId="9">
      <filters>
        <filter val="1"/>
      </filters>
    </filterColumn>
    <filterColumn colId="10">
      <filters>
        <filter val="1"/>
      </filters>
    </filterColumn>
  </autoFilter>
  <sortState xmlns:xlrd2="http://schemas.microsoft.com/office/spreadsheetml/2017/richdata2" ref="A2:K213">
    <sortCondition ref="K1:K213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7965-0FBB-4C2C-86A6-00A289270EDF}">
  <dimension ref="A1:FF151"/>
  <sheetViews>
    <sheetView workbookViewId="0">
      <selection activeCell="H2" sqref="H2:I51"/>
    </sheetView>
  </sheetViews>
  <sheetFormatPr defaultColWidth="9.140625" defaultRowHeight="15" x14ac:dyDescent="0.25"/>
  <sheetData>
    <row r="1" spans="1:16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62" x14ac:dyDescent="0.25">
      <c r="A2">
        <v>44</v>
      </c>
      <c r="B2">
        <v>1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51">TRANSPOSE(_xlfn.ANCHORARRAY(M2))</f>
        <v>3</v>
      </c>
      <c r="M2" cm="1">
        <f t="array" ref="M2:FF2">TRANSPOSE(_xlfn.FILTERXML("&lt;t&gt;&lt;s&gt;" &amp; _xlfn.TEXTJOIN("&lt;/s&gt;&lt;s&gt;",,D2:F51)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65</v>
      </c>
      <c r="AL2">
        <v>32</v>
      </c>
      <c r="AM2">
        <v>0</v>
      </c>
      <c r="AN2">
        <v>33</v>
      </c>
      <c r="AO2">
        <v>68</v>
      </c>
      <c r="AP2">
        <v>0</v>
      </c>
      <c r="AQ2">
        <v>25</v>
      </c>
      <c r="AR2">
        <v>79</v>
      </c>
      <c r="AS2">
        <v>0</v>
      </c>
      <c r="AT2">
        <v>29</v>
      </c>
      <c r="AU2">
        <v>71</v>
      </c>
      <c r="AV2">
        <v>9</v>
      </c>
      <c r="AW2">
        <v>25</v>
      </c>
      <c r="AX2">
        <v>88</v>
      </c>
      <c r="AY2">
        <v>0</v>
      </c>
      <c r="AZ2">
        <v>16</v>
      </c>
      <c r="BA2">
        <v>99</v>
      </c>
      <c r="BB2">
        <v>0</v>
      </c>
      <c r="BC2">
        <v>22</v>
      </c>
      <c r="BD2">
        <v>78</v>
      </c>
      <c r="BE2">
        <v>18</v>
      </c>
      <c r="BF2">
        <v>2</v>
      </c>
      <c r="BG2">
        <v>112</v>
      </c>
      <c r="BH2">
        <v>5</v>
      </c>
      <c r="BI2">
        <v>7</v>
      </c>
      <c r="BJ2">
        <v>119</v>
      </c>
      <c r="BK2">
        <v>0</v>
      </c>
      <c r="BL2">
        <v>78</v>
      </c>
      <c r="BM2">
        <v>37</v>
      </c>
      <c r="BN2">
        <v>12</v>
      </c>
      <c r="BO2">
        <v>110</v>
      </c>
      <c r="BP2">
        <v>24</v>
      </c>
      <c r="BQ2">
        <v>0</v>
      </c>
      <c r="BR2">
        <v>107</v>
      </c>
      <c r="BS2">
        <v>30</v>
      </c>
      <c r="BT2">
        <v>0</v>
      </c>
      <c r="BU2">
        <v>17</v>
      </c>
      <c r="BV2">
        <v>120</v>
      </c>
      <c r="BW2">
        <v>2</v>
      </c>
      <c r="BX2">
        <v>24</v>
      </c>
      <c r="BY2">
        <v>76</v>
      </c>
      <c r="BZ2">
        <v>39</v>
      </c>
      <c r="CA2">
        <v>103</v>
      </c>
      <c r="CB2">
        <v>39</v>
      </c>
      <c r="CC2">
        <v>0</v>
      </c>
      <c r="CD2">
        <v>82</v>
      </c>
      <c r="CE2">
        <v>62</v>
      </c>
      <c r="CF2">
        <v>0</v>
      </c>
      <c r="CG2">
        <v>2</v>
      </c>
      <c r="CH2">
        <v>145</v>
      </c>
      <c r="CI2">
        <v>0</v>
      </c>
      <c r="CJ2">
        <v>2</v>
      </c>
      <c r="CK2">
        <v>148</v>
      </c>
      <c r="CL2">
        <v>0</v>
      </c>
      <c r="CM2">
        <v>6</v>
      </c>
      <c r="CN2">
        <v>150</v>
      </c>
      <c r="CO2">
        <v>0</v>
      </c>
      <c r="CP2">
        <v>102</v>
      </c>
      <c r="CQ2">
        <v>54</v>
      </c>
      <c r="CR2">
        <v>0</v>
      </c>
      <c r="CS2">
        <v>3</v>
      </c>
      <c r="CT2">
        <v>158</v>
      </c>
      <c r="CU2">
        <v>0</v>
      </c>
      <c r="CV2">
        <v>16</v>
      </c>
      <c r="CW2">
        <v>145</v>
      </c>
      <c r="CX2">
        <v>10</v>
      </c>
      <c r="CY2">
        <v>1</v>
      </c>
      <c r="CZ2">
        <v>170</v>
      </c>
      <c r="DA2">
        <v>0</v>
      </c>
      <c r="DB2">
        <v>1</v>
      </c>
      <c r="DC2">
        <v>198</v>
      </c>
      <c r="DD2">
        <v>0</v>
      </c>
      <c r="DE2">
        <v>35</v>
      </c>
      <c r="DF2">
        <v>168</v>
      </c>
      <c r="DG2">
        <v>0</v>
      </c>
      <c r="DH2">
        <v>69</v>
      </c>
      <c r="DI2">
        <v>172</v>
      </c>
      <c r="DJ2">
        <v>0</v>
      </c>
      <c r="DK2">
        <v>61</v>
      </c>
      <c r="DL2">
        <v>181</v>
      </c>
      <c r="DM2">
        <v>0</v>
      </c>
      <c r="DN2">
        <v>55</v>
      </c>
      <c r="DO2">
        <v>191</v>
      </c>
      <c r="DP2">
        <v>0</v>
      </c>
      <c r="DQ2">
        <v>184</v>
      </c>
      <c r="DR2">
        <v>67</v>
      </c>
      <c r="DS2">
        <v>0</v>
      </c>
      <c r="DT2">
        <v>145</v>
      </c>
      <c r="DU2">
        <v>115</v>
      </c>
      <c r="DV2">
        <v>0</v>
      </c>
      <c r="DW2">
        <v>2</v>
      </c>
      <c r="DX2">
        <v>271</v>
      </c>
      <c r="DY2">
        <v>0</v>
      </c>
      <c r="DZ2">
        <v>16</v>
      </c>
      <c r="EA2">
        <v>269</v>
      </c>
      <c r="EB2">
        <v>0</v>
      </c>
      <c r="EC2">
        <v>39</v>
      </c>
      <c r="ED2">
        <v>246</v>
      </c>
      <c r="EE2">
        <v>0</v>
      </c>
      <c r="EF2">
        <v>35</v>
      </c>
      <c r="EG2">
        <v>272</v>
      </c>
      <c r="EH2">
        <v>0</v>
      </c>
      <c r="EI2">
        <v>33</v>
      </c>
      <c r="EJ2">
        <v>274</v>
      </c>
      <c r="EK2">
        <v>0</v>
      </c>
      <c r="EL2">
        <v>22</v>
      </c>
      <c r="EM2">
        <v>280</v>
      </c>
      <c r="EN2">
        <v>15</v>
      </c>
      <c r="EO2">
        <v>17</v>
      </c>
      <c r="EP2">
        <v>324</v>
      </c>
      <c r="EQ2">
        <v>0</v>
      </c>
      <c r="ER2">
        <v>6</v>
      </c>
      <c r="ES2">
        <v>383</v>
      </c>
      <c r="ET2">
        <v>20</v>
      </c>
      <c r="EU2">
        <v>67</v>
      </c>
      <c r="EV2">
        <v>433</v>
      </c>
      <c r="EW2">
        <v>0</v>
      </c>
      <c r="EX2">
        <v>118</v>
      </c>
      <c r="EY2">
        <v>440</v>
      </c>
      <c r="EZ2">
        <v>0</v>
      </c>
      <c r="FA2">
        <v>88</v>
      </c>
      <c r="FB2">
        <v>545</v>
      </c>
      <c r="FC2">
        <v>0</v>
      </c>
      <c r="FD2">
        <v>97</v>
      </c>
      <c r="FE2">
        <v>791</v>
      </c>
      <c r="FF2">
        <v>23</v>
      </c>
    </row>
    <row r="3" spans="1:162" x14ac:dyDescent="0.25">
      <c r="A3">
        <v>127</v>
      </c>
      <c r="B3">
        <v>2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62" x14ac:dyDescent="0.25">
      <c r="A4">
        <v>6</v>
      </c>
      <c r="B4">
        <v>3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62" x14ac:dyDescent="0.25">
      <c r="A5">
        <v>96</v>
      </c>
      <c r="B5">
        <v>4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62" x14ac:dyDescent="0.25">
      <c r="A6">
        <v>79</v>
      </c>
      <c r="B6">
        <v>5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62" x14ac:dyDescent="0.25">
      <c r="A7">
        <v>66</v>
      </c>
      <c r="B7">
        <v>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62" x14ac:dyDescent="0.25">
      <c r="A8">
        <v>163</v>
      </c>
      <c r="B8">
        <v>7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51" si="0">IF(AND(D8&gt;=1,E8&gt;=1,F8&gt;=1),1,0)</f>
        <v>1</v>
      </c>
      <c r="K8">
        <f t="shared" ref="K8:K51" si="1">IF((D8&gt;=1)+(E8&gt;=1)+(F8&gt;=1)&gt;=2,1,0)</f>
        <v>1</v>
      </c>
      <c r="L8">
        <v>20</v>
      </c>
    </row>
    <row r="9" spans="1:162" x14ac:dyDescent="0.25">
      <c r="A9">
        <v>103</v>
      </c>
      <c r="B9">
        <v>8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62" x14ac:dyDescent="0.25">
      <c r="A10">
        <v>60</v>
      </c>
      <c r="B10">
        <v>9</v>
      </c>
      <c r="C10">
        <v>7194850044</v>
      </c>
      <c r="D10">
        <v>65</v>
      </c>
      <c r="E10">
        <v>32</v>
      </c>
      <c r="F10">
        <v>0</v>
      </c>
      <c r="G10">
        <v>97</v>
      </c>
      <c r="H10">
        <v>4.6570819999999999</v>
      </c>
      <c r="I10">
        <v>-74.056055999999998</v>
      </c>
      <c r="J10">
        <f t="shared" si="0"/>
        <v>0</v>
      </c>
      <c r="K10">
        <f t="shared" si="1"/>
        <v>1</v>
      </c>
      <c r="L10">
        <v>20</v>
      </c>
    </row>
    <row r="11" spans="1:162" x14ac:dyDescent="0.25">
      <c r="A11">
        <v>142</v>
      </c>
      <c r="B11">
        <v>10</v>
      </c>
      <c r="C11">
        <v>7194859993</v>
      </c>
      <c r="D11">
        <v>33</v>
      </c>
      <c r="E11">
        <v>68</v>
      </c>
      <c r="F11">
        <v>0</v>
      </c>
      <c r="G11">
        <v>101</v>
      </c>
      <c r="H11">
        <v>4.739725</v>
      </c>
      <c r="I11">
        <v>-74.239041</v>
      </c>
      <c r="J11">
        <f t="shared" si="0"/>
        <v>0</v>
      </c>
      <c r="K11">
        <f t="shared" si="1"/>
        <v>1</v>
      </c>
      <c r="L11">
        <v>21</v>
      </c>
    </row>
    <row r="12" spans="1:162" x14ac:dyDescent="0.25">
      <c r="A12">
        <v>102</v>
      </c>
      <c r="B12">
        <v>11</v>
      </c>
      <c r="C12">
        <v>7194867028</v>
      </c>
      <c r="D12">
        <v>25</v>
      </c>
      <c r="E12">
        <v>79</v>
      </c>
      <c r="F12">
        <v>0</v>
      </c>
      <c r="G12">
        <v>104</v>
      </c>
      <c r="H12">
        <v>4.696072</v>
      </c>
      <c r="I12">
        <v>-74.142893999999998</v>
      </c>
      <c r="J12">
        <f t="shared" si="0"/>
        <v>0</v>
      </c>
      <c r="K12">
        <f t="shared" si="1"/>
        <v>1</v>
      </c>
      <c r="L12">
        <v>12</v>
      </c>
    </row>
    <row r="13" spans="1:162" x14ac:dyDescent="0.25">
      <c r="A13">
        <v>55</v>
      </c>
      <c r="B13">
        <v>12</v>
      </c>
      <c r="C13">
        <v>7194858461</v>
      </c>
      <c r="D13">
        <v>29</v>
      </c>
      <c r="E13">
        <v>71</v>
      </c>
      <c r="F13">
        <v>9</v>
      </c>
      <c r="G13">
        <v>109</v>
      </c>
      <c r="H13">
        <v>4.6540350000000004</v>
      </c>
      <c r="I13">
        <v>-74.043012000000004</v>
      </c>
      <c r="J13">
        <f t="shared" si="0"/>
        <v>1</v>
      </c>
      <c r="K13">
        <f t="shared" si="1"/>
        <v>1</v>
      </c>
      <c r="L13">
        <v>14</v>
      </c>
    </row>
    <row r="14" spans="1:162" x14ac:dyDescent="0.25">
      <c r="A14">
        <v>49</v>
      </c>
      <c r="B14">
        <v>13</v>
      </c>
      <c r="C14">
        <v>7194826177</v>
      </c>
      <c r="D14">
        <v>25</v>
      </c>
      <c r="E14">
        <v>88</v>
      </c>
      <c r="F14">
        <v>0</v>
      </c>
      <c r="G14">
        <v>113</v>
      </c>
      <c r="H14">
        <v>4.6502090000000003</v>
      </c>
      <c r="I14">
        <v>-74.122673000000006</v>
      </c>
      <c r="J14">
        <f t="shared" si="0"/>
        <v>0</v>
      </c>
      <c r="K14">
        <f t="shared" si="1"/>
        <v>1</v>
      </c>
      <c r="L14">
        <v>33</v>
      </c>
    </row>
    <row r="15" spans="1:162" x14ac:dyDescent="0.25">
      <c r="A15">
        <v>92</v>
      </c>
      <c r="B15">
        <v>14</v>
      </c>
      <c r="C15">
        <v>7194860895</v>
      </c>
      <c r="D15">
        <v>16</v>
      </c>
      <c r="E15">
        <v>99</v>
      </c>
      <c r="F15">
        <v>0</v>
      </c>
      <c r="G15">
        <v>115</v>
      </c>
      <c r="H15">
        <v>4.6895699999999998</v>
      </c>
      <c r="I15">
        <v>-74.130313000000001</v>
      </c>
      <c r="J15">
        <f t="shared" si="0"/>
        <v>0</v>
      </c>
      <c r="K15">
        <f t="shared" si="1"/>
        <v>1</v>
      </c>
      <c r="L15">
        <v>11</v>
      </c>
    </row>
    <row r="16" spans="1:162" x14ac:dyDescent="0.25">
      <c r="A16">
        <v>77</v>
      </c>
      <c r="B16">
        <v>15</v>
      </c>
      <c r="C16">
        <v>7194869486</v>
      </c>
      <c r="D16">
        <v>22</v>
      </c>
      <c r="E16">
        <v>78</v>
      </c>
      <c r="F16">
        <v>18</v>
      </c>
      <c r="G16">
        <v>118</v>
      </c>
      <c r="H16">
        <v>4.6712829999999999</v>
      </c>
      <c r="I16">
        <v>-74.081180000000003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161</v>
      </c>
      <c r="B17">
        <v>16</v>
      </c>
      <c r="C17">
        <v>7194869635</v>
      </c>
      <c r="D17">
        <v>2</v>
      </c>
      <c r="E17">
        <v>112</v>
      </c>
      <c r="F17">
        <v>5</v>
      </c>
      <c r="G17">
        <v>119</v>
      </c>
      <c r="H17">
        <v>4.7961859999999996</v>
      </c>
      <c r="I17">
        <v>-74.190698999999995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140</v>
      </c>
      <c r="B18">
        <v>17</v>
      </c>
      <c r="C18">
        <v>7194839636</v>
      </c>
      <c r="D18">
        <v>7</v>
      </c>
      <c r="E18">
        <v>119</v>
      </c>
      <c r="F18">
        <v>0</v>
      </c>
      <c r="G18">
        <v>126</v>
      </c>
      <c r="H18">
        <v>4.7387600000000001</v>
      </c>
      <c r="I18">
        <v>-74.137321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4</v>
      </c>
      <c r="B19">
        <v>18</v>
      </c>
      <c r="C19">
        <v>7194818312</v>
      </c>
      <c r="D19">
        <v>78</v>
      </c>
      <c r="E19">
        <v>37</v>
      </c>
      <c r="F19">
        <v>12</v>
      </c>
      <c r="G19">
        <v>127</v>
      </c>
      <c r="H19">
        <v>4.5831359999999997</v>
      </c>
      <c r="I19">
        <v>-74.105939000000006</v>
      </c>
      <c r="J19">
        <f t="shared" si="0"/>
        <v>1</v>
      </c>
      <c r="K19">
        <f t="shared" si="1"/>
        <v>1</v>
      </c>
      <c r="L19">
        <v>9</v>
      </c>
    </row>
    <row r="20" spans="1:12" x14ac:dyDescent="0.25">
      <c r="A20">
        <v>108</v>
      </c>
      <c r="B20">
        <v>19</v>
      </c>
      <c r="C20">
        <v>7194870209</v>
      </c>
      <c r="D20">
        <v>110</v>
      </c>
      <c r="E20">
        <v>24</v>
      </c>
      <c r="F20">
        <v>0</v>
      </c>
      <c r="G20">
        <v>134</v>
      </c>
      <c r="H20">
        <v>4.6978030000000004</v>
      </c>
      <c r="I20">
        <v>-74.038591999999994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98</v>
      </c>
      <c r="B21">
        <v>20</v>
      </c>
      <c r="C21">
        <v>7194866138</v>
      </c>
      <c r="D21">
        <v>107</v>
      </c>
      <c r="E21">
        <v>30</v>
      </c>
      <c r="F21">
        <v>0</v>
      </c>
      <c r="G21">
        <v>137</v>
      </c>
      <c r="H21">
        <v>4.6934019999999999</v>
      </c>
      <c r="I21">
        <v>-74.034571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119</v>
      </c>
      <c r="B22">
        <v>21</v>
      </c>
      <c r="C22">
        <v>7194838083</v>
      </c>
      <c r="D22">
        <v>17</v>
      </c>
      <c r="E22">
        <v>120</v>
      </c>
      <c r="F22">
        <v>2</v>
      </c>
      <c r="G22">
        <v>139</v>
      </c>
      <c r="H22">
        <v>4.7063329999999999</v>
      </c>
      <c r="I22">
        <v>-74.050922999999997</v>
      </c>
      <c r="J22">
        <f t="shared" si="0"/>
        <v>1</v>
      </c>
      <c r="K22">
        <f t="shared" si="1"/>
        <v>1</v>
      </c>
      <c r="L22">
        <v>60</v>
      </c>
    </row>
    <row r="23" spans="1:12" x14ac:dyDescent="0.25">
      <c r="A23">
        <v>152</v>
      </c>
      <c r="B23">
        <v>22</v>
      </c>
      <c r="C23">
        <v>7194825918</v>
      </c>
      <c r="D23">
        <v>24</v>
      </c>
      <c r="E23">
        <v>76</v>
      </c>
      <c r="F23">
        <v>39</v>
      </c>
      <c r="G23">
        <v>139</v>
      </c>
      <c r="H23">
        <v>4.7682669999999998</v>
      </c>
      <c r="I23">
        <v>-74.145319000000001</v>
      </c>
      <c r="J23">
        <f t="shared" si="0"/>
        <v>1</v>
      </c>
      <c r="K23">
        <f t="shared" si="1"/>
        <v>1</v>
      </c>
      <c r="L23">
        <v>52</v>
      </c>
    </row>
    <row r="24" spans="1:12" x14ac:dyDescent="0.25">
      <c r="A24">
        <v>155</v>
      </c>
      <c r="B24">
        <v>23</v>
      </c>
      <c r="C24">
        <v>7194821466</v>
      </c>
      <c r="D24">
        <v>103</v>
      </c>
      <c r="E24">
        <v>39</v>
      </c>
      <c r="F24">
        <v>0</v>
      </c>
      <c r="G24">
        <v>142</v>
      </c>
      <c r="H24">
        <v>4.7778539999999996</v>
      </c>
      <c r="I24">
        <v>-74.182815000000005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94</v>
      </c>
      <c r="B25">
        <v>24</v>
      </c>
      <c r="C25">
        <v>7194850518</v>
      </c>
      <c r="D25">
        <v>82</v>
      </c>
      <c r="E25">
        <v>62</v>
      </c>
      <c r="F25">
        <v>0</v>
      </c>
      <c r="G25">
        <v>144</v>
      </c>
      <c r="H25">
        <v>4.690849</v>
      </c>
      <c r="I25">
        <v>-74.148673000000002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167</v>
      </c>
      <c r="B26">
        <v>25</v>
      </c>
      <c r="C26">
        <v>7194824245</v>
      </c>
      <c r="D26">
        <v>2</v>
      </c>
      <c r="E26">
        <v>145</v>
      </c>
      <c r="F26">
        <v>0</v>
      </c>
      <c r="G26">
        <v>147</v>
      </c>
      <c r="H26">
        <v>4.8659999999999997</v>
      </c>
      <c r="I26">
        <v>-73.955799999999996</v>
      </c>
      <c r="J26">
        <f t="shared" si="0"/>
        <v>0</v>
      </c>
      <c r="K26">
        <f t="shared" si="1"/>
        <v>1</v>
      </c>
      <c r="L26">
        <v>65</v>
      </c>
    </row>
    <row r="27" spans="1:12" x14ac:dyDescent="0.25">
      <c r="A27">
        <v>86</v>
      </c>
      <c r="B27">
        <v>26</v>
      </c>
      <c r="C27">
        <v>7194839241</v>
      </c>
      <c r="D27">
        <v>2</v>
      </c>
      <c r="E27">
        <v>148</v>
      </c>
      <c r="F27">
        <v>0</v>
      </c>
      <c r="G27">
        <v>150</v>
      </c>
      <c r="H27">
        <v>4.6825570000000001</v>
      </c>
      <c r="I27">
        <v>-74.134210999999993</v>
      </c>
      <c r="J27">
        <f t="shared" si="0"/>
        <v>0</v>
      </c>
      <c r="K27">
        <f t="shared" si="1"/>
        <v>1</v>
      </c>
      <c r="L27">
        <v>32</v>
      </c>
    </row>
    <row r="28" spans="1:12" x14ac:dyDescent="0.25">
      <c r="A28">
        <v>8</v>
      </c>
      <c r="B28">
        <v>27</v>
      </c>
      <c r="C28">
        <v>7194867817</v>
      </c>
      <c r="D28">
        <v>6</v>
      </c>
      <c r="E28">
        <v>150</v>
      </c>
      <c r="F28">
        <v>0</v>
      </c>
      <c r="G28">
        <v>156</v>
      </c>
      <c r="H28">
        <v>4.599297</v>
      </c>
      <c r="I28">
        <v>-74.142263</v>
      </c>
      <c r="J28">
        <f t="shared" si="0"/>
        <v>0</v>
      </c>
      <c r="K28">
        <f t="shared" si="1"/>
        <v>1</v>
      </c>
      <c r="L28">
        <v>0</v>
      </c>
    </row>
    <row r="29" spans="1:12" x14ac:dyDescent="0.25">
      <c r="A29">
        <v>169</v>
      </c>
      <c r="B29">
        <v>28</v>
      </c>
      <c r="C29">
        <v>7194867930</v>
      </c>
      <c r="D29">
        <v>102</v>
      </c>
      <c r="E29">
        <v>54</v>
      </c>
      <c r="F29">
        <v>0</v>
      </c>
      <c r="G29">
        <v>156</v>
      </c>
      <c r="H29">
        <v>4.8871969999999996</v>
      </c>
      <c r="I29">
        <v>-73.963700000000003</v>
      </c>
      <c r="J29">
        <f t="shared" si="0"/>
        <v>0</v>
      </c>
      <c r="K29">
        <f t="shared" si="1"/>
        <v>1</v>
      </c>
      <c r="L29">
        <v>33</v>
      </c>
    </row>
    <row r="30" spans="1:12" x14ac:dyDescent="0.25">
      <c r="A30">
        <v>3</v>
      </c>
      <c r="B30">
        <v>29</v>
      </c>
      <c r="C30">
        <v>7194866739</v>
      </c>
      <c r="D30">
        <v>3</v>
      </c>
      <c r="E30">
        <v>158</v>
      </c>
      <c r="F30">
        <v>0</v>
      </c>
      <c r="G30">
        <v>161</v>
      </c>
      <c r="H30">
        <v>4.5795170000000001</v>
      </c>
      <c r="I30">
        <v>-74.125364000000005</v>
      </c>
      <c r="J30">
        <f t="shared" si="0"/>
        <v>0</v>
      </c>
      <c r="K30">
        <f t="shared" si="1"/>
        <v>1</v>
      </c>
      <c r="L30">
        <v>68</v>
      </c>
    </row>
    <row r="31" spans="1:12" x14ac:dyDescent="0.25">
      <c r="A31">
        <v>28</v>
      </c>
      <c r="B31">
        <v>30</v>
      </c>
      <c r="C31">
        <v>7194862671</v>
      </c>
      <c r="D31">
        <v>16</v>
      </c>
      <c r="E31">
        <v>145</v>
      </c>
      <c r="F31">
        <v>10</v>
      </c>
      <c r="G31">
        <v>171</v>
      </c>
      <c r="H31">
        <v>4.6292799999999996</v>
      </c>
      <c r="I31">
        <v>-74.105988999999994</v>
      </c>
      <c r="J31">
        <f t="shared" si="0"/>
        <v>1</v>
      </c>
      <c r="K31">
        <f t="shared" si="1"/>
        <v>1</v>
      </c>
      <c r="L31">
        <v>0</v>
      </c>
    </row>
    <row r="32" spans="1:12" x14ac:dyDescent="0.25">
      <c r="A32">
        <v>37</v>
      </c>
      <c r="B32">
        <v>31</v>
      </c>
      <c r="C32">
        <v>7194802793</v>
      </c>
      <c r="D32">
        <v>1</v>
      </c>
      <c r="E32">
        <v>170</v>
      </c>
      <c r="F32">
        <v>0</v>
      </c>
      <c r="G32">
        <v>171</v>
      </c>
      <c r="H32">
        <v>4.6333570000000002</v>
      </c>
      <c r="I32">
        <v>-74.117958999999999</v>
      </c>
      <c r="J32">
        <f t="shared" si="0"/>
        <v>0</v>
      </c>
      <c r="K32">
        <f t="shared" si="1"/>
        <v>1</v>
      </c>
      <c r="L32">
        <v>25</v>
      </c>
    </row>
    <row r="33" spans="1:12" x14ac:dyDescent="0.25">
      <c r="A33">
        <v>107</v>
      </c>
      <c r="B33">
        <v>32</v>
      </c>
      <c r="C33">
        <v>7194867044</v>
      </c>
      <c r="D33">
        <v>1</v>
      </c>
      <c r="E33">
        <v>198</v>
      </c>
      <c r="F33">
        <v>0</v>
      </c>
      <c r="G33">
        <v>199</v>
      </c>
      <c r="H33">
        <v>4.6975939999999996</v>
      </c>
      <c r="I33">
        <v>-74.139038999999997</v>
      </c>
      <c r="J33">
        <f t="shared" si="0"/>
        <v>0</v>
      </c>
      <c r="K33">
        <f t="shared" si="1"/>
        <v>1</v>
      </c>
      <c r="L33">
        <v>79</v>
      </c>
    </row>
    <row r="34" spans="1:12" x14ac:dyDescent="0.25">
      <c r="A34">
        <v>36</v>
      </c>
      <c r="B34">
        <v>33</v>
      </c>
      <c r="C34">
        <v>7194862665</v>
      </c>
      <c r="D34">
        <v>35</v>
      </c>
      <c r="E34">
        <v>168</v>
      </c>
      <c r="F34">
        <v>0</v>
      </c>
      <c r="G34">
        <v>203</v>
      </c>
      <c r="H34">
        <v>4.6331030000000002</v>
      </c>
      <c r="I34">
        <v>-74.156147000000004</v>
      </c>
      <c r="J34">
        <f t="shared" si="0"/>
        <v>0</v>
      </c>
      <c r="K34">
        <f t="shared" si="1"/>
        <v>1</v>
      </c>
      <c r="L34">
        <v>0</v>
      </c>
    </row>
    <row r="35" spans="1:12" x14ac:dyDescent="0.25">
      <c r="A35">
        <v>154</v>
      </c>
      <c r="B35">
        <v>34</v>
      </c>
      <c r="C35">
        <v>7194865820</v>
      </c>
      <c r="D35">
        <v>69</v>
      </c>
      <c r="E35">
        <v>172</v>
      </c>
      <c r="F35">
        <v>0</v>
      </c>
      <c r="G35">
        <v>241</v>
      </c>
      <c r="H35">
        <v>4.7753509999999997</v>
      </c>
      <c r="I35">
        <v>-74.14049</v>
      </c>
      <c r="J35">
        <f t="shared" si="0"/>
        <v>0</v>
      </c>
      <c r="K35">
        <f t="shared" si="1"/>
        <v>1</v>
      </c>
      <c r="L35">
        <v>29</v>
      </c>
    </row>
    <row r="36" spans="1:12" x14ac:dyDescent="0.25">
      <c r="A36">
        <v>73</v>
      </c>
      <c r="B36">
        <v>35</v>
      </c>
      <c r="C36">
        <v>7194830323</v>
      </c>
      <c r="D36">
        <v>61</v>
      </c>
      <c r="E36">
        <v>181</v>
      </c>
      <c r="F36">
        <v>0</v>
      </c>
      <c r="G36">
        <v>242</v>
      </c>
      <c r="H36">
        <v>4.6688489999999998</v>
      </c>
      <c r="I36">
        <v>-74.056647999999996</v>
      </c>
      <c r="J36">
        <f t="shared" si="0"/>
        <v>0</v>
      </c>
      <c r="K36">
        <f t="shared" si="1"/>
        <v>1</v>
      </c>
      <c r="L36">
        <v>71</v>
      </c>
    </row>
    <row r="37" spans="1:12" x14ac:dyDescent="0.25">
      <c r="A37">
        <v>120</v>
      </c>
      <c r="B37">
        <v>36</v>
      </c>
      <c r="C37">
        <v>7194838368</v>
      </c>
      <c r="D37">
        <v>55</v>
      </c>
      <c r="E37">
        <v>191</v>
      </c>
      <c r="F37">
        <v>0</v>
      </c>
      <c r="G37">
        <v>246</v>
      </c>
      <c r="H37">
        <v>4.7064570000000003</v>
      </c>
      <c r="I37">
        <v>-74.051321999999999</v>
      </c>
      <c r="J37">
        <f t="shared" si="0"/>
        <v>0</v>
      </c>
      <c r="K37">
        <f t="shared" si="1"/>
        <v>1</v>
      </c>
      <c r="L37">
        <v>9</v>
      </c>
    </row>
    <row r="38" spans="1:12" x14ac:dyDescent="0.25">
      <c r="A38">
        <v>112</v>
      </c>
      <c r="B38">
        <v>37</v>
      </c>
      <c r="C38">
        <v>7194865133</v>
      </c>
      <c r="D38">
        <v>184</v>
      </c>
      <c r="E38">
        <v>67</v>
      </c>
      <c r="F38">
        <v>0</v>
      </c>
      <c r="G38">
        <v>251</v>
      </c>
      <c r="H38">
        <v>4.7021290000000002</v>
      </c>
      <c r="I38">
        <v>-74.082421999999994</v>
      </c>
      <c r="J38">
        <f t="shared" si="0"/>
        <v>0</v>
      </c>
      <c r="K38">
        <f t="shared" si="1"/>
        <v>1</v>
      </c>
      <c r="L38">
        <v>25</v>
      </c>
    </row>
    <row r="39" spans="1:12" x14ac:dyDescent="0.25">
      <c r="A39">
        <v>25</v>
      </c>
      <c r="B39">
        <v>38</v>
      </c>
      <c r="C39">
        <v>7194860631</v>
      </c>
      <c r="D39">
        <v>145</v>
      </c>
      <c r="E39">
        <v>115</v>
      </c>
      <c r="F39">
        <v>0</v>
      </c>
      <c r="G39">
        <v>260</v>
      </c>
      <c r="H39">
        <v>4.6269130000000001</v>
      </c>
      <c r="I39">
        <v>-74.064733000000004</v>
      </c>
      <c r="J39">
        <f t="shared" si="0"/>
        <v>0</v>
      </c>
      <c r="K39">
        <f t="shared" si="1"/>
        <v>1</v>
      </c>
      <c r="L39">
        <v>88</v>
      </c>
    </row>
    <row r="40" spans="1:12" x14ac:dyDescent="0.25">
      <c r="A40">
        <v>43</v>
      </c>
      <c r="B40">
        <v>39</v>
      </c>
      <c r="C40">
        <v>7194868925</v>
      </c>
      <c r="D40">
        <v>2</v>
      </c>
      <c r="E40">
        <v>271</v>
      </c>
      <c r="F40">
        <v>0</v>
      </c>
      <c r="G40">
        <v>273</v>
      </c>
      <c r="H40">
        <v>4.6410830000000001</v>
      </c>
      <c r="I40">
        <v>-74.114226000000002</v>
      </c>
      <c r="J40">
        <f t="shared" si="0"/>
        <v>0</v>
      </c>
      <c r="K40">
        <f t="shared" si="1"/>
        <v>1</v>
      </c>
      <c r="L40">
        <v>0</v>
      </c>
    </row>
    <row r="41" spans="1:12" x14ac:dyDescent="0.25">
      <c r="A41">
        <v>31</v>
      </c>
      <c r="B41">
        <v>40</v>
      </c>
      <c r="C41">
        <v>7194865698</v>
      </c>
      <c r="D41">
        <v>16</v>
      </c>
      <c r="E41">
        <v>269</v>
      </c>
      <c r="F41">
        <v>0</v>
      </c>
      <c r="G41">
        <v>285</v>
      </c>
      <c r="H41">
        <v>4.6304800000000004</v>
      </c>
      <c r="I41">
        <v>-74.092879999999994</v>
      </c>
      <c r="J41">
        <f t="shared" si="0"/>
        <v>0</v>
      </c>
      <c r="K41">
        <f t="shared" si="1"/>
        <v>1</v>
      </c>
      <c r="L41">
        <v>16</v>
      </c>
    </row>
    <row r="42" spans="1:12" x14ac:dyDescent="0.25">
      <c r="A42">
        <v>70</v>
      </c>
      <c r="B42">
        <v>41</v>
      </c>
      <c r="C42">
        <v>7194865583</v>
      </c>
      <c r="D42">
        <v>39</v>
      </c>
      <c r="E42">
        <v>246</v>
      </c>
      <c r="F42">
        <v>0</v>
      </c>
      <c r="G42">
        <v>285</v>
      </c>
      <c r="H42">
        <v>4.6646330000000003</v>
      </c>
      <c r="I42">
        <v>-74.078505000000007</v>
      </c>
      <c r="J42">
        <f t="shared" si="0"/>
        <v>0</v>
      </c>
      <c r="K42">
        <f t="shared" si="1"/>
        <v>1</v>
      </c>
      <c r="L42">
        <v>99</v>
      </c>
    </row>
    <row r="43" spans="1:12" x14ac:dyDescent="0.25">
      <c r="A43">
        <v>83</v>
      </c>
      <c r="B43">
        <v>42</v>
      </c>
      <c r="C43">
        <v>7194837268</v>
      </c>
      <c r="D43">
        <v>35</v>
      </c>
      <c r="E43">
        <v>272</v>
      </c>
      <c r="F43">
        <v>0</v>
      </c>
      <c r="G43">
        <v>307</v>
      </c>
      <c r="H43">
        <v>4.678858</v>
      </c>
      <c r="I43">
        <v>-74.127341999999999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145</v>
      </c>
      <c r="B44">
        <v>43</v>
      </c>
      <c r="C44">
        <v>7194868164</v>
      </c>
      <c r="D44">
        <v>33</v>
      </c>
      <c r="E44">
        <v>274</v>
      </c>
      <c r="F44">
        <v>0</v>
      </c>
      <c r="G44">
        <v>307</v>
      </c>
      <c r="H44">
        <v>4.7471449999999997</v>
      </c>
      <c r="I44">
        <v>-74.036225999999999</v>
      </c>
      <c r="J44">
        <f t="shared" si="0"/>
        <v>0</v>
      </c>
      <c r="K44">
        <f t="shared" si="1"/>
        <v>1</v>
      </c>
      <c r="L44">
        <v>22</v>
      </c>
    </row>
    <row r="45" spans="1:12" x14ac:dyDescent="0.25">
      <c r="A45">
        <v>133</v>
      </c>
      <c r="B45">
        <v>44</v>
      </c>
      <c r="C45">
        <v>7194863853</v>
      </c>
      <c r="D45">
        <v>22</v>
      </c>
      <c r="E45">
        <v>280</v>
      </c>
      <c r="F45">
        <v>15</v>
      </c>
      <c r="G45">
        <v>317</v>
      </c>
      <c r="H45">
        <v>4.7324999999999999</v>
      </c>
      <c r="I45">
        <v>-74.065488000000002</v>
      </c>
      <c r="J45">
        <f t="shared" si="0"/>
        <v>1</v>
      </c>
      <c r="K45">
        <f t="shared" si="1"/>
        <v>1</v>
      </c>
      <c r="L45">
        <v>78</v>
      </c>
    </row>
    <row r="46" spans="1:12" x14ac:dyDescent="0.25">
      <c r="A46">
        <v>23</v>
      </c>
      <c r="B46">
        <v>45</v>
      </c>
      <c r="C46">
        <v>7194841659</v>
      </c>
      <c r="D46">
        <v>17</v>
      </c>
      <c r="E46">
        <v>324</v>
      </c>
      <c r="F46">
        <v>0</v>
      </c>
      <c r="G46">
        <v>341</v>
      </c>
      <c r="H46">
        <v>4.6263579999999997</v>
      </c>
      <c r="I46">
        <v>-74.102267999999995</v>
      </c>
      <c r="J46">
        <f t="shared" si="0"/>
        <v>0</v>
      </c>
      <c r="K46">
        <f t="shared" si="1"/>
        <v>1</v>
      </c>
      <c r="L46">
        <v>18</v>
      </c>
    </row>
    <row r="47" spans="1:12" x14ac:dyDescent="0.25">
      <c r="A47">
        <v>162</v>
      </c>
      <c r="B47">
        <v>46</v>
      </c>
      <c r="C47">
        <v>7194866333</v>
      </c>
      <c r="D47">
        <v>6</v>
      </c>
      <c r="E47">
        <v>383</v>
      </c>
      <c r="F47">
        <v>20</v>
      </c>
      <c r="G47">
        <v>409</v>
      </c>
      <c r="H47">
        <v>4.7967040000000001</v>
      </c>
      <c r="I47">
        <v>-74.210752999999997</v>
      </c>
      <c r="J47">
        <f t="shared" si="0"/>
        <v>1</v>
      </c>
      <c r="K47">
        <f t="shared" si="1"/>
        <v>1</v>
      </c>
      <c r="L47">
        <v>2</v>
      </c>
    </row>
    <row r="48" spans="1:12" x14ac:dyDescent="0.25">
      <c r="A48">
        <v>109</v>
      </c>
      <c r="B48">
        <v>47</v>
      </c>
      <c r="C48">
        <v>7194836905</v>
      </c>
      <c r="D48">
        <v>67</v>
      </c>
      <c r="E48">
        <v>433</v>
      </c>
      <c r="F48">
        <v>0</v>
      </c>
      <c r="G48">
        <v>500</v>
      </c>
      <c r="H48">
        <v>4.6984589999999997</v>
      </c>
      <c r="I48">
        <v>-74.072867000000002</v>
      </c>
      <c r="J48">
        <f t="shared" si="0"/>
        <v>0</v>
      </c>
      <c r="K48">
        <f t="shared" si="1"/>
        <v>1</v>
      </c>
      <c r="L48">
        <v>112</v>
      </c>
    </row>
    <row r="49" spans="1:12" x14ac:dyDescent="0.25">
      <c r="A49">
        <v>48</v>
      </c>
      <c r="B49">
        <v>48</v>
      </c>
      <c r="C49">
        <v>7194838571</v>
      </c>
      <c r="D49">
        <v>118</v>
      </c>
      <c r="E49">
        <v>440</v>
      </c>
      <c r="F49">
        <v>0</v>
      </c>
      <c r="G49">
        <v>558</v>
      </c>
      <c r="H49">
        <v>4.6471479999999996</v>
      </c>
      <c r="I49">
        <v>-74.105746999999994</v>
      </c>
      <c r="J49">
        <f t="shared" si="0"/>
        <v>0</v>
      </c>
      <c r="K49">
        <f t="shared" si="1"/>
        <v>1</v>
      </c>
      <c r="L49">
        <v>5</v>
      </c>
    </row>
    <row r="50" spans="1:12" x14ac:dyDescent="0.25">
      <c r="A50">
        <v>24</v>
      </c>
      <c r="B50">
        <v>49</v>
      </c>
      <c r="C50">
        <v>7194865812</v>
      </c>
      <c r="D50">
        <v>88</v>
      </c>
      <c r="E50">
        <v>545</v>
      </c>
      <c r="F50">
        <v>0</v>
      </c>
      <c r="G50">
        <v>633</v>
      </c>
      <c r="H50">
        <v>4.626544</v>
      </c>
      <c r="I50">
        <v>-74.104303000000002</v>
      </c>
      <c r="J50">
        <f t="shared" si="0"/>
        <v>0</v>
      </c>
      <c r="K50">
        <f t="shared" si="1"/>
        <v>1</v>
      </c>
      <c r="L50">
        <v>7</v>
      </c>
    </row>
    <row r="51" spans="1:12" x14ac:dyDescent="0.25">
      <c r="A51">
        <v>82</v>
      </c>
      <c r="B51">
        <v>50</v>
      </c>
      <c r="C51">
        <v>7194867721</v>
      </c>
      <c r="D51">
        <v>97</v>
      </c>
      <c r="E51">
        <v>791</v>
      </c>
      <c r="F51">
        <v>23</v>
      </c>
      <c r="G51">
        <v>911</v>
      </c>
      <c r="H51">
        <v>4.6772159999999996</v>
      </c>
      <c r="I51">
        <v>-74.137641000000002</v>
      </c>
      <c r="J51">
        <f t="shared" si="0"/>
        <v>1</v>
      </c>
      <c r="K51">
        <f t="shared" si="1"/>
        <v>1</v>
      </c>
      <c r="L51">
        <v>119</v>
      </c>
    </row>
    <row r="52" spans="1:12" x14ac:dyDescent="0.25">
      <c r="L52">
        <v>0</v>
      </c>
    </row>
    <row r="53" spans="1:12" x14ac:dyDescent="0.25">
      <c r="L53">
        <v>78</v>
      </c>
    </row>
    <row r="54" spans="1:12" x14ac:dyDescent="0.25">
      <c r="L54">
        <v>37</v>
      </c>
    </row>
    <row r="55" spans="1:12" x14ac:dyDescent="0.25">
      <c r="L55">
        <v>12</v>
      </c>
    </row>
    <row r="56" spans="1:12" x14ac:dyDescent="0.25">
      <c r="L56">
        <v>110</v>
      </c>
    </row>
    <row r="57" spans="1:12" x14ac:dyDescent="0.25">
      <c r="L57">
        <v>24</v>
      </c>
    </row>
    <row r="58" spans="1:12" x14ac:dyDescent="0.25">
      <c r="L58">
        <v>0</v>
      </c>
    </row>
    <row r="59" spans="1:12" x14ac:dyDescent="0.25">
      <c r="L59">
        <v>107</v>
      </c>
    </row>
    <row r="60" spans="1:12" x14ac:dyDescent="0.25">
      <c r="L60">
        <v>30</v>
      </c>
    </row>
    <row r="61" spans="1:12" x14ac:dyDescent="0.25">
      <c r="L61">
        <v>0</v>
      </c>
    </row>
    <row r="62" spans="1:12" x14ac:dyDescent="0.25">
      <c r="L62">
        <v>17</v>
      </c>
    </row>
    <row r="63" spans="1:12" x14ac:dyDescent="0.25">
      <c r="L63">
        <v>120</v>
      </c>
    </row>
    <row r="64" spans="1:12" x14ac:dyDescent="0.25">
      <c r="L64">
        <v>2</v>
      </c>
    </row>
    <row r="65" spans="12:12" x14ac:dyDescent="0.25">
      <c r="L65">
        <v>24</v>
      </c>
    </row>
    <row r="66" spans="12:12" x14ac:dyDescent="0.25">
      <c r="L66">
        <v>76</v>
      </c>
    </row>
    <row r="67" spans="12:12" x14ac:dyDescent="0.25">
      <c r="L67">
        <v>39</v>
      </c>
    </row>
    <row r="68" spans="12:12" x14ac:dyDescent="0.25">
      <c r="L68">
        <v>103</v>
      </c>
    </row>
    <row r="69" spans="12:12" x14ac:dyDescent="0.25">
      <c r="L69">
        <v>39</v>
      </c>
    </row>
    <row r="70" spans="12:12" x14ac:dyDescent="0.25">
      <c r="L70">
        <v>0</v>
      </c>
    </row>
    <row r="71" spans="12:12" x14ac:dyDescent="0.25">
      <c r="L71">
        <v>82</v>
      </c>
    </row>
    <row r="72" spans="12:12" x14ac:dyDescent="0.25">
      <c r="L72">
        <v>62</v>
      </c>
    </row>
    <row r="73" spans="12:12" x14ac:dyDescent="0.25">
      <c r="L73">
        <v>0</v>
      </c>
    </row>
    <row r="74" spans="12:12" x14ac:dyDescent="0.25">
      <c r="L74">
        <v>2</v>
      </c>
    </row>
    <row r="75" spans="12:12" x14ac:dyDescent="0.25">
      <c r="L75">
        <v>145</v>
      </c>
    </row>
    <row r="76" spans="12:12" x14ac:dyDescent="0.25">
      <c r="L76">
        <v>0</v>
      </c>
    </row>
    <row r="77" spans="12:12" x14ac:dyDescent="0.25">
      <c r="L77">
        <v>2</v>
      </c>
    </row>
    <row r="78" spans="12:12" x14ac:dyDescent="0.25">
      <c r="L78">
        <v>148</v>
      </c>
    </row>
    <row r="79" spans="12:12" x14ac:dyDescent="0.25">
      <c r="L79">
        <v>0</v>
      </c>
    </row>
    <row r="80" spans="12:12" x14ac:dyDescent="0.25">
      <c r="L80">
        <v>6</v>
      </c>
    </row>
    <row r="81" spans="12:12" x14ac:dyDescent="0.25">
      <c r="L81">
        <v>150</v>
      </c>
    </row>
    <row r="82" spans="12:12" x14ac:dyDescent="0.25">
      <c r="L82">
        <v>0</v>
      </c>
    </row>
    <row r="83" spans="12:12" x14ac:dyDescent="0.25">
      <c r="L83">
        <v>102</v>
      </c>
    </row>
    <row r="84" spans="12:12" x14ac:dyDescent="0.25">
      <c r="L84">
        <v>54</v>
      </c>
    </row>
    <row r="85" spans="12:12" x14ac:dyDescent="0.25">
      <c r="L85">
        <v>0</v>
      </c>
    </row>
    <row r="86" spans="12:12" x14ac:dyDescent="0.25">
      <c r="L86">
        <v>3</v>
      </c>
    </row>
    <row r="87" spans="12:12" x14ac:dyDescent="0.25">
      <c r="L87">
        <v>158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145</v>
      </c>
    </row>
    <row r="91" spans="12:12" x14ac:dyDescent="0.25">
      <c r="L91">
        <v>10</v>
      </c>
    </row>
    <row r="92" spans="12:12" x14ac:dyDescent="0.25">
      <c r="L92">
        <v>1</v>
      </c>
    </row>
    <row r="93" spans="12:12" x14ac:dyDescent="0.25">
      <c r="L93">
        <v>170</v>
      </c>
    </row>
    <row r="94" spans="12:12" x14ac:dyDescent="0.25">
      <c r="L94">
        <v>0</v>
      </c>
    </row>
    <row r="95" spans="12:12" x14ac:dyDescent="0.25">
      <c r="L95">
        <v>1</v>
      </c>
    </row>
    <row r="96" spans="12:12" x14ac:dyDescent="0.25">
      <c r="L96">
        <v>198</v>
      </c>
    </row>
    <row r="97" spans="12:12" x14ac:dyDescent="0.25">
      <c r="L97">
        <v>0</v>
      </c>
    </row>
    <row r="98" spans="12:12" x14ac:dyDescent="0.25">
      <c r="L98">
        <v>35</v>
      </c>
    </row>
    <row r="99" spans="12:12" x14ac:dyDescent="0.25">
      <c r="L99">
        <v>168</v>
      </c>
    </row>
    <row r="100" spans="12:12" x14ac:dyDescent="0.25">
      <c r="L100">
        <v>0</v>
      </c>
    </row>
    <row r="101" spans="12:12" x14ac:dyDescent="0.25">
      <c r="L101">
        <v>69</v>
      </c>
    </row>
    <row r="102" spans="12:12" x14ac:dyDescent="0.25">
      <c r="L102">
        <v>172</v>
      </c>
    </row>
    <row r="103" spans="12:12" x14ac:dyDescent="0.25">
      <c r="L103">
        <v>0</v>
      </c>
    </row>
    <row r="104" spans="12:12" x14ac:dyDescent="0.25">
      <c r="L104">
        <v>61</v>
      </c>
    </row>
    <row r="105" spans="12:12" x14ac:dyDescent="0.25">
      <c r="L105">
        <v>181</v>
      </c>
    </row>
    <row r="106" spans="12:12" x14ac:dyDescent="0.25">
      <c r="L106">
        <v>0</v>
      </c>
    </row>
    <row r="107" spans="12:12" x14ac:dyDescent="0.25">
      <c r="L107">
        <v>55</v>
      </c>
    </row>
    <row r="108" spans="12:12" x14ac:dyDescent="0.25">
      <c r="L108">
        <v>191</v>
      </c>
    </row>
    <row r="109" spans="12:12" x14ac:dyDescent="0.25">
      <c r="L109">
        <v>0</v>
      </c>
    </row>
    <row r="110" spans="12:12" x14ac:dyDescent="0.25">
      <c r="L110">
        <v>184</v>
      </c>
    </row>
    <row r="111" spans="12:12" x14ac:dyDescent="0.25">
      <c r="L111">
        <v>67</v>
      </c>
    </row>
    <row r="112" spans="12:12" x14ac:dyDescent="0.25">
      <c r="L112">
        <v>0</v>
      </c>
    </row>
    <row r="113" spans="12:12" x14ac:dyDescent="0.25">
      <c r="L113">
        <v>145</v>
      </c>
    </row>
    <row r="114" spans="12:12" x14ac:dyDescent="0.25">
      <c r="L114">
        <v>115</v>
      </c>
    </row>
    <row r="115" spans="12:12" x14ac:dyDescent="0.25">
      <c r="L115">
        <v>0</v>
      </c>
    </row>
    <row r="116" spans="12:12" x14ac:dyDescent="0.25">
      <c r="L116">
        <v>2</v>
      </c>
    </row>
    <row r="117" spans="12:12" x14ac:dyDescent="0.25">
      <c r="L117">
        <v>271</v>
      </c>
    </row>
    <row r="118" spans="12:12" x14ac:dyDescent="0.25">
      <c r="L118">
        <v>0</v>
      </c>
    </row>
    <row r="119" spans="12:12" x14ac:dyDescent="0.25">
      <c r="L119">
        <v>16</v>
      </c>
    </row>
    <row r="120" spans="12:12" x14ac:dyDescent="0.25">
      <c r="L120">
        <v>269</v>
      </c>
    </row>
    <row r="121" spans="12:12" x14ac:dyDescent="0.25">
      <c r="L121">
        <v>0</v>
      </c>
    </row>
    <row r="122" spans="12:12" x14ac:dyDescent="0.25">
      <c r="L122">
        <v>39</v>
      </c>
    </row>
    <row r="123" spans="12:12" x14ac:dyDescent="0.25">
      <c r="L123">
        <v>246</v>
      </c>
    </row>
    <row r="124" spans="12:12" x14ac:dyDescent="0.25">
      <c r="L124">
        <v>0</v>
      </c>
    </row>
    <row r="125" spans="12:12" x14ac:dyDescent="0.25">
      <c r="L125">
        <v>35</v>
      </c>
    </row>
    <row r="126" spans="12:12" x14ac:dyDescent="0.25">
      <c r="L126">
        <v>272</v>
      </c>
    </row>
    <row r="127" spans="12:12" x14ac:dyDescent="0.25">
      <c r="L127">
        <v>0</v>
      </c>
    </row>
    <row r="128" spans="12:12" x14ac:dyDescent="0.25">
      <c r="L128">
        <v>33</v>
      </c>
    </row>
    <row r="129" spans="12:12" x14ac:dyDescent="0.25">
      <c r="L129">
        <v>274</v>
      </c>
    </row>
    <row r="130" spans="12:12" x14ac:dyDescent="0.25">
      <c r="L130">
        <v>0</v>
      </c>
    </row>
    <row r="131" spans="12:12" x14ac:dyDescent="0.25">
      <c r="L131">
        <v>22</v>
      </c>
    </row>
    <row r="132" spans="12:12" x14ac:dyDescent="0.25">
      <c r="L132">
        <v>280</v>
      </c>
    </row>
    <row r="133" spans="12:12" x14ac:dyDescent="0.25">
      <c r="L133">
        <v>15</v>
      </c>
    </row>
    <row r="134" spans="12:12" x14ac:dyDescent="0.25">
      <c r="L134">
        <v>17</v>
      </c>
    </row>
    <row r="135" spans="12:12" x14ac:dyDescent="0.25">
      <c r="L135">
        <v>324</v>
      </c>
    </row>
    <row r="136" spans="12:12" x14ac:dyDescent="0.25">
      <c r="L136">
        <v>0</v>
      </c>
    </row>
    <row r="137" spans="12:12" x14ac:dyDescent="0.25">
      <c r="L137">
        <v>6</v>
      </c>
    </row>
    <row r="138" spans="12:12" x14ac:dyDescent="0.25">
      <c r="L138">
        <v>383</v>
      </c>
    </row>
    <row r="139" spans="12:12" x14ac:dyDescent="0.25">
      <c r="L139">
        <v>20</v>
      </c>
    </row>
    <row r="140" spans="12:12" x14ac:dyDescent="0.25">
      <c r="L140">
        <v>67</v>
      </c>
    </row>
    <row r="141" spans="12:12" x14ac:dyDescent="0.25">
      <c r="L141">
        <v>433</v>
      </c>
    </row>
    <row r="142" spans="12:12" x14ac:dyDescent="0.25">
      <c r="L142">
        <v>0</v>
      </c>
    </row>
    <row r="143" spans="12:12" x14ac:dyDescent="0.25">
      <c r="L143">
        <v>118</v>
      </c>
    </row>
    <row r="144" spans="12:12" x14ac:dyDescent="0.25">
      <c r="L144">
        <v>440</v>
      </c>
    </row>
    <row r="145" spans="12:12" x14ac:dyDescent="0.25">
      <c r="L145">
        <v>0</v>
      </c>
    </row>
    <row r="146" spans="12:12" x14ac:dyDescent="0.25">
      <c r="L146">
        <v>88</v>
      </c>
    </row>
    <row r="147" spans="12:12" x14ac:dyDescent="0.25">
      <c r="L147">
        <v>545</v>
      </c>
    </row>
    <row r="148" spans="12:12" x14ac:dyDescent="0.25">
      <c r="L148">
        <v>0</v>
      </c>
    </row>
    <row r="149" spans="12:12" x14ac:dyDescent="0.25">
      <c r="L149">
        <v>97</v>
      </c>
    </row>
    <row r="150" spans="12:12" x14ac:dyDescent="0.25">
      <c r="L150">
        <v>791</v>
      </c>
    </row>
    <row r="151" spans="12:12" x14ac:dyDescent="0.25">
      <c r="L151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959D-8608-4ECC-81D8-F5DF58F7CFB3}">
  <dimension ref="A1:EQ136"/>
  <sheetViews>
    <sheetView workbookViewId="0">
      <selection activeCell="H2" sqref="H2:I46"/>
    </sheetView>
  </sheetViews>
  <sheetFormatPr defaultColWidth="9.140625" defaultRowHeight="15" x14ac:dyDescent="0.25"/>
  <sheetData>
    <row r="1" spans="1:14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4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36">TRANSPOSE(_xlfn.ANCHORARRAY(M2))</f>
        <v>3</v>
      </c>
      <c r="M2" cm="1">
        <f t="array" ref="M2:EQ2">TRANSPOSE(_xlfn.FILTERXML("&lt;t&gt;&lt;s&gt;" &amp; _xlfn.TEXTJOIN("&lt;/s&gt;&lt;s&gt;",,D2:F46)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</v>
      </c>
      <c r="AU2">
        <v>119</v>
      </c>
      <c r="AV2">
        <v>0</v>
      </c>
      <c r="AW2">
        <v>78</v>
      </c>
      <c r="AX2">
        <v>37</v>
      </c>
      <c r="AY2">
        <v>12</v>
      </c>
      <c r="AZ2">
        <v>110</v>
      </c>
      <c r="BA2">
        <v>24</v>
      </c>
      <c r="BB2">
        <v>0</v>
      </c>
      <c r="BC2">
        <v>107</v>
      </c>
      <c r="BD2">
        <v>30</v>
      </c>
      <c r="BE2">
        <v>0</v>
      </c>
      <c r="BF2">
        <v>17</v>
      </c>
      <c r="BG2">
        <v>120</v>
      </c>
      <c r="BH2">
        <v>2</v>
      </c>
      <c r="BI2">
        <v>24</v>
      </c>
      <c r="BJ2">
        <v>76</v>
      </c>
      <c r="BK2">
        <v>39</v>
      </c>
      <c r="BL2">
        <v>103</v>
      </c>
      <c r="BM2">
        <v>39</v>
      </c>
      <c r="BN2">
        <v>0</v>
      </c>
      <c r="BO2">
        <v>82</v>
      </c>
      <c r="BP2">
        <v>62</v>
      </c>
      <c r="BQ2">
        <v>0</v>
      </c>
      <c r="BR2">
        <v>2</v>
      </c>
      <c r="BS2">
        <v>145</v>
      </c>
      <c r="BT2">
        <v>0</v>
      </c>
      <c r="BU2">
        <v>2</v>
      </c>
      <c r="BV2">
        <v>148</v>
      </c>
      <c r="BW2">
        <v>0</v>
      </c>
      <c r="BX2">
        <v>6</v>
      </c>
      <c r="BY2">
        <v>150</v>
      </c>
      <c r="BZ2">
        <v>0</v>
      </c>
      <c r="CA2">
        <v>102</v>
      </c>
      <c r="CB2">
        <v>54</v>
      </c>
      <c r="CC2">
        <v>0</v>
      </c>
      <c r="CD2">
        <v>3</v>
      </c>
      <c r="CE2">
        <v>158</v>
      </c>
      <c r="CF2">
        <v>0</v>
      </c>
      <c r="CG2">
        <v>16</v>
      </c>
      <c r="CH2">
        <v>145</v>
      </c>
      <c r="CI2">
        <v>10</v>
      </c>
      <c r="CJ2">
        <v>1</v>
      </c>
      <c r="CK2">
        <v>170</v>
      </c>
      <c r="CL2">
        <v>0</v>
      </c>
      <c r="CM2">
        <v>1</v>
      </c>
      <c r="CN2">
        <v>198</v>
      </c>
      <c r="CO2">
        <v>0</v>
      </c>
      <c r="CP2">
        <v>35</v>
      </c>
      <c r="CQ2">
        <v>168</v>
      </c>
      <c r="CR2">
        <v>0</v>
      </c>
      <c r="CS2">
        <v>69</v>
      </c>
      <c r="CT2">
        <v>172</v>
      </c>
      <c r="CU2">
        <v>0</v>
      </c>
      <c r="CV2">
        <v>61</v>
      </c>
      <c r="CW2">
        <v>181</v>
      </c>
      <c r="CX2">
        <v>0</v>
      </c>
      <c r="CY2">
        <v>55</v>
      </c>
      <c r="CZ2">
        <v>191</v>
      </c>
      <c r="DA2">
        <v>0</v>
      </c>
      <c r="DB2">
        <v>184</v>
      </c>
      <c r="DC2">
        <v>67</v>
      </c>
      <c r="DD2">
        <v>0</v>
      </c>
      <c r="DE2">
        <v>145</v>
      </c>
      <c r="DF2">
        <v>115</v>
      </c>
      <c r="DG2">
        <v>0</v>
      </c>
      <c r="DH2">
        <v>2</v>
      </c>
      <c r="DI2">
        <v>271</v>
      </c>
      <c r="DJ2">
        <v>0</v>
      </c>
      <c r="DK2">
        <v>16</v>
      </c>
      <c r="DL2">
        <v>269</v>
      </c>
      <c r="DM2">
        <v>0</v>
      </c>
      <c r="DN2">
        <v>39</v>
      </c>
      <c r="DO2">
        <v>246</v>
      </c>
      <c r="DP2">
        <v>0</v>
      </c>
      <c r="DQ2">
        <v>35</v>
      </c>
      <c r="DR2">
        <v>272</v>
      </c>
      <c r="DS2">
        <v>0</v>
      </c>
      <c r="DT2">
        <v>33</v>
      </c>
      <c r="DU2">
        <v>274</v>
      </c>
      <c r="DV2">
        <v>0</v>
      </c>
      <c r="DW2">
        <v>22</v>
      </c>
      <c r="DX2">
        <v>280</v>
      </c>
      <c r="DY2">
        <v>15</v>
      </c>
      <c r="DZ2">
        <v>17</v>
      </c>
      <c r="EA2">
        <v>324</v>
      </c>
      <c r="EB2">
        <v>0</v>
      </c>
      <c r="EC2">
        <v>6</v>
      </c>
      <c r="ED2">
        <v>383</v>
      </c>
      <c r="EE2">
        <v>20</v>
      </c>
      <c r="EF2">
        <v>67</v>
      </c>
      <c r="EG2">
        <v>433</v>
      </c>
      <c r="EH2">
        <v>0</v>
      </c>
      <c r="EI2">
        <v>118</v>
      </c>
      <c r="EJ2">
        <v>440</v>
      </c>
      <c r="EK2">
        <v>0</v>
      </c>
      <c r="EL2">
        <v>88</v>
      </c>
      <c r="EM2">
        <v>545</v>
      </c>
      <c r="EN2">
        <v>0</v>
      </c>
      <c r="EO2">
        <v>97</v>
      </c>
      <c r="EP2">
        <v>791</v>
      </c>
      <c r="EQ2">
        <v>23</v>
      </c>
    </row>
    <row r="3" spans="1:14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4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4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4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4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4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6" si="0">IF(AND(D8&gt;=1,E8&gt;=1,F8&gt;=1),1,0)</f>
        <v>1</v>
      </c>
      <c r="K8">
        <f t="shared" ref="K8:K46" si="1">IF((D8&gt;=1)+(E8&gt;=1)+(F8&gt;=1)&gt;=2,1,0)</f>
        <v>1</v>
      </c>
      <c r="L8">
        <v>20</v>
      </c>
    </row>
    <row r="9" spans="1:14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4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4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4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47" x14ac:dyDescent="0.25">
      <c r="A13">
        <v>140</v>
      </c>
      <c r="C13">
        <v>7194839636</v>
      </c>
      <c r="D13">
        <v>7</v>
      </c>
      <c r="E13">
        <v>119</v>
      </c>
      <c r="F13">
        <v>0</v>
      </c>
      <c r="G13">
        <v>126</v>
      </c>
      <c r="H13">
        <v>4.7387600000000001</v>
      </c>
      <c r="I13">
        <v>-74.137321</v>
      </c>
      <c r="J13">
        <f t="shared" si="0"/>
        <v>0</v>
      </c>
      <c r="K13">
        <f t="shared" si="1"/>
        <v>1</v>
      </c>
      <c r="L13">
        <v>14</v>
      </c>
    </row>
    <row r="14" spans="1:147" x14ac:dyDescent="0.25">
      <c r="A14">
        <v>4</v>
      </c>
      <c r="C14">
        <v>7194818312</v>
      </c>
      <c r="D14">
        <v>78</v>
      </c>
      <c r="E14">
        <v>37</v>
      </c>
      <c r="F14">
        <v>12</v>
      </c>
      <c r="G14">
        <v>127</v>
      </c>
      <c r="H14">
        <v>4.5831359999999997</v>
      </c>
      <c r="I14">
        <v>-74.105939000000006</v>
      </c>
      <c r="J14">
        <f t="shared" si="0"/>
        <v>1</v>
      </c>
      <c r="K14">
        <f t="shared" si="1"/>
        <v>1</v>
      </c>
      <c r="L14">
        <v>33</v>
      </c>
    </row>
    <row r="15" spans="1:147" x14ac:dyDescent="0.25">
      <c r="A15">
        <v>108</v>
      </c>
      <c r="C15">
        <v>7194870209</v>
      </c>
      <c r="D15">
        <v>110</v>
      </c>
      <c r="E15">
        <v>24</v>
      </c>
      <c r="F15">
        <v>0</v>
      </c>
      <c r="G15">
        <v>134</v>
      </c>
      <c r="H15">
        <v>4.6978030000000004</v>
      </c>
      <c r="I15">
        <v>-74.038591999999994</v>
      </c>
      <c r="J15">
        <f t="shared" si="0"/>
        <v>0</v>
      </c>
      <c r="K15">
        <f t="shared" si="1"/>
        <v>1</v>
      </c>
      <c r="L15">
        <v>11</v>
      </c>
    </row>
    <row r="16" spans="1:147" x14ac:dyDescent="0.25">
      <c r="A16">
        <v>98</v>
      </c>
      <c r="C16">
        <v>7194866138</v>
      </c>
      <c r="D16">
        <v>107</v>
      </c>
      <c r="E16">
        <v>30</v>
      </c>
      <c r="F16">
        <v>0</v>
      </c>
      <c r="G16">
        <v>137</v>
      </c>
      <c r="H16">
        <v>4.6934019999999999</v>
      </c>
      <c r="I16">
        <v>-74.034571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119</v>
      </c>
      <c r="C17">
        <v>7194838083</v>
      </c>
      <c r="D17">
        <v>17</v>
      </c>
      <c r="E17">
        <v>120</v>
      </c>
      <c r="F17">
        <v>2</v>
      </c>
      <c r="G17">
        <v>139</v>
      </c>
      <c r="H17">
        <v>4.7063329999999999</v>
      </c>
      <c r="I17">
        <v>-74.050922999999997</v>
      </c>
      <c r="J17">
        <f t="shared" si="0"/>
        <v>1</v>
      </c>
      <c r="K17">
        <f t="shared" si="1"/>
        <v>1</v>
      </c>
      <c r="L17">
        <v>24</v>
      </c>
    </row>
    <row r="18" spans="1:12" x14ac:dyDescent="0.25">
      <c r="A18">
        <v>152</v>
      </c>
      <c r="C18">
        <v>7194825918</v>
      </c>
      <c r="D18">
        <v>24</v>
      </c>
      <c r="E18">
        <v>76</v>
      </c>
      <c r="F18">
        <v>39</v>
      </c>
      <c r="G18">
        <v>139</v>
      </c>
      <c r="H18">
        <v>4.7682669999999998</v>
      </c>
      <c r="I18">
        <v>-74.145319000000001</v>
      </c>
      <c r="J18">
        <f t="shared" si="0"/>
        <v>1</v>
      </c>
      <c r="K18">
        <f t="shared" si="1"/>
        <v>1</v>
      </c>
      <c r="L18">
        <v>27</v>
      </c>
    </row>
    <row r="19" spans="1:12" x14ac:dyDescent="0.25">
      <c r="A19">
        <v>155</v>
      </c>
      <c r="C19">
        <v>7194821466</v>
      </c>
      <c r="D19">
        <v>103</v>
      </c>
      <c r="E19">
        <v>39</v>
      </c>
      <c r="F19">
        <v>0</v>
      </c>
      <c r="G19">
        <v>142</v>
      </c>
      <c r="H19">
        <v>4.7778539999999996</v>
      </c>
      <c r="I19">
        <v>-74.182815000000005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94</v>
      </c>
      <c r="C20">
        <v>7194850518</v>
      </c>
      <c r="D20">
        <v>82</v>
      </c>
      <c r="E20">
        <v>62</v>
      </c>
      <c r="F20">
        <v>0</v>
      </c>
      <c r="G20">
        <v>144</v>
      </c>
      <c r="H20">
        <v>4.690849</v>
      </c>
      <c r="I20">
        <v>-74.148673000000002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167</v>
      </c>
      <c r="C21">
        <v>7194824245</v>
      </c>
      <c r="D21">
        <v>2</v>
      </c>
      <c r="E21">
        <v>145</v>
      </c>
      <c r="F21">
        <v>0</v>
      </c>
      <c r="G21">
        <v>147</v>
      </c>
      <c r="H21">
        <v>4.8659999999999997</v>
      </c>
      <c r="I21">
        <v>-73.955799999999996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86</v>
      </c>
      <c r="C22">
        <v>7194839241</v>
      </c>
      <c r="D22">
        <v>2</v>
      </c>
      <c r="E22">
        <v>148</v>
      </c>
      <c r="F22">
        <v>0</v>
      </c>
      <c r="G22">
        <v>150</v>
      </c>
      <c r="H22">
        <v>4.6825570000000001</v>
      </c>
      <c r="I22">
        <v>-74.134210999999993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</v>
      </c>
      <c r="C23">
        <v>7194867817</v>
      </c>
      <c r="D23">
        <v>6</v>
      </c>
      <c r="E23">
        <v>150</v>
      </c>
      <c r="F23">
        <v>0</v>
      </c>
      <c r="G23">
        <v>156</v>
      </c>
      <c r="H23">
        <v>4.599297</v>
      </c>
      <c r="I23">
        <v>-74.142263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169</v>
      </c>
      <c r="C24">
        <v>7194867930</v>
      </c>
      <c r="D24">
        <v>102</v>
      </c>
      <c r="E24">
        <v>54</v>
      </c>
      <c r="F24">
        <v>0</v>
      </c>
      <c r="G24">
        <v>156</v>
      </c>
      <c r="H24">
        <v>4.8871969999999996</v>
      </c>
      <c r="I24">
        <v>-73.963700000000003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3</v>
      </c>
      <c r="C25">
        <v>7194866739</v>
      </c>
      <c r="D25">
        <v>3</v>
      </c>
      <c r="E25">
        <v>158</v>
      </c>
      <c r="F25">
        <v>0</v>
      </c>
      <c r="G25">
        <v>161</v>
      </c>
      <c r="H25">
        <v>4.5795170000000001</v>
      </c>
      <c r="I25">
        <v>-74.125364000000005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28</v>
      </c>
      <c r="C26">
        <v>7194862671</v>
      </c>
      <c r="D26">
        <v>16</v>
      </c>
      <c r="E26">
        <v>145</v>
      </c>
      <c r="F26">
        <v>10</v>
      </c>
      <c r="G26">
        <v>171</v>
      </c>
      <c r="H26">
        <v>4.6292799999999996</v>
      </c>
      <c r="I26">
        <v>-74.105988999999994</v>
      </c>
      <c r="J26">
        <f t="shared" si="0"/>
        <v>1</v>
      </c>
      <c r="K26">
        <f t="shared" si="1"/>
        <v>1</v>
      </c>
      <c r="L26">
        <v>29</v>
      </c>
    </row>
    <row r="27" spans="1:12" x14ac:dyDescent="0.25">
      <c r="A27">
        <v>37</v>
      </c>
      <c r="C27">
        <v>7194802793</v>
      </c>
      <c r="D27">
        <v>1</v>
      </c>
      <c r="E27">
        <v>170</v>
      </c>
      <c r="F27">
        <v>0</v>
      </c>
      <c r="G27">
        <v>171</v>
      </c>
      <c r="H27">
        <v>4.6333570000000002</v>
      </c>
      <c r="I27">
        <v>-74.117958999999999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107</v>
      </c>
      <c r="C28">
        <v>7194867044</v>
      </c>
      <c r="D28">
        <v>1</v>
      </c>
      <c r="E28">
        <v>198</v>
      </c>
      <c r="F28">
        <v>0</v>
      </c>
      <c r="G28">
        <v>199</v>
      </c>
      <c r="H28">
        <v>4.6975939999999996</v>
      </c>
      <c r="I28">
        <v>-74.139038999999997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36</v>
      </c>
      <c r="C29">
        <v>7194862665</v>
      </c>
      <c r="D29">
        <v>35</v>
      </c>
      <c r="E29">
        <v>168</v>
      </c>
      <c r="F29">
        <v>0</v>
      </c>
      <c r="G29">
        <v>203</v>
      </c>
      <c r="H29">
        <v>4.6331030000000002</v>
      </c>
      <c r="I29">
        <v>-74.156147000000004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154</v>
      </c>
      <c r="C30">
        <v>7194865820</v>
      </c>
      <c r="D30">
        <v>69</v>
      </c>
      <c r="E30">
        <v>172</v>
      </c>
      <c r="F30">
        <v>0</v>
      </c>
      <c r="G30">
        <v>241</v>
      </c>
      <c r="H30">
        <v>4.7753509999999997</v>
      </c>
      <c r="I30">
        <v>-74.14049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73</v>
      </c>
      <c r="C31">
        <v>7194830323</v>
      </c>
      <c r="D31">
        <v>61</v>
      </c>
      <c r="E31">
        <v>181</v>
      </c>
      <c r="F31">
        <v>0</v>
      </c>
      <c r="G31">
        <v>242</v>
      </c>
      <c r="H31">
        <v>4.6688489999999998</v>
      </c>
      <c r="I31">
        <v>-74.056647999999996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120</v>
      </c>
      <c r="C32">
        <v>7194838368</v>
      </c>
      <c r="D32">
        <v>55</v>
      </c>
      <c r="E32">
        <v>191</v>
      </c>
      <c r="F32">
        <v>0</v>
      </c>
      <c r="G32">
        <v>246</v>
      </c>
      <c r="H32">
        <v>4.7064570000000003</v>
      </c>
      <c r="I32">
        <v>-74.051321999999999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112</v>
      </c>
      <c r="C33">
        <v>7194865133</v>
      </c>
      <c r="D33">
        <v>184</v>
      </c>
      <c r="E33">
        <v>67</v>
      </c>
      <c r="F33">
        <v>0</v>
      </c>
      <c r="G33">
        <v>251</v>
      </c>
      <c r="H33">
        <v>4.7021290000000002</v>
      </c>
      <c r="I33">
        <v>-74.082421999999994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25</v>
      </c>
      <c r="C34">
        <v>7194860631</v>
      </c>
      <c r="D34">
        <v>145</v>
      </c>
      <c r="E34">
        <v>115</v>
      </c>
      <c r="F34">
        <v>0</v>
      </c>
      <c r="G34">
        <v>260</v>
      </c>
      <c r="H34">
        <v>4.6269130000000001</v>
      </c>
      <c r="I34">
        <v>-74.064733000000004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43</v>
      </c>
      <c r="C35">
        <v>7194868925</v>
      </c>
      <c r="D35">
        <v>2</v>
      </c>
      <c r="E35">
        <v>271</v>
      </c>
      <c r="F35">
        <v>0</v>
      </c>
      <c r="G35">
        <v>273</v>
      </c>
      <c r="H35">
        <v>4.6410830000000001</v>
      </c>
      <c r="I35">
        <v>-74.114226000000002</v>
      </c>
      <c r="J35">
        <f t="shared" si="0"/>
        <v>0</v>
      </c>
      <c r="K35">
        <f t="shared" si="1"/>
        <v>1</v>
      </c>
      <c r="L35">
        <v>7</v>
      </c>
    </row>
    <row r="36" spans="1:12" x14ac:dyDescent="0.25">
      <c r="A36">
        <v>31</v>
      </c>
      <c r="C36">
        <v>7194865698</v>
      </c>
      <c r="D36">
        <v>16</v>
      </c>
      <c r="E36">
        <v>269</v>
      </c>
      <c r="F36">
        <v>0</v>
      </c>
      <c r="G36">
        <v>285</v>
      </c>
      <c r="H36">
        <v>4.6304800000000004</v>
      </c>
      <c r="I36">
        <v>-74.092879999999994</v>
      </c>
      <c r="J36">
        <f t="shared" si="0"/>
        <v>0</v>
      </c>
      <c r="K36">
        <f t="shared" si="1"/>
        <v>1</v>
      </c>
      <c r="L36">
        <v>119</v>
      </c>
    </row>
    <row r="37" spans="1:12" x14ac:dyDescent="0.25">
      <c r="A37">
        <v>70</v>
      </c>
      <c r="C37">
        <v>7194865583</v>
      </c>
      <c r="D37">
        <v>39</v>
      </c>
      <c r="E37">
        <v>246</v>
      </c>
      <c r="F37">
        <v>0</v>
      </c>
      <c r="G37">
        <v>285</v>
      </c>
      <c r="H37">
        <v>4.6646330000000003</v>
      </c>
      <c r="I37">
        <v>-74.078505000000007</v>
      </c>
      <c r="J37">
        <f t="shared" si="0"/>
        <v>0</v>
      </c>
      <c r="K37">
        <f t="shared" si="1"/>
        <v>1</v>
      </c>
      <c r="L37">
        <v>0</v>
      </c>
    </row>
    <row r="38" spans="1:12" x14ac:dyDescent="0.25">
      <c r="A38">
        <v>83</v>
      </c>
      <c r="C38">
        <v>7194837268</v>
      </c>
      <c r="D38">
        <v>35</v>
      </c>
      <c r="E38">
        <v>272</v>
      </c>
      <c r="F38">
        <v>0</v>
      </c>
      <c r="G38">
        <v>307</v>
      </c>
      <c r="H38">
        <v>4.678858</v>
      </c>
      <c r="I38">
        <v>-74.127341999999999</v>
      </c>
      <c r="J38">
        <f t="shared" si="0"/>
        <v>0</v>
      </c>
      <c r="K38">
        <f t="shared" si="1"/>
        <v>1</v>
      </c>
      <c r="L38">
        <v>78</v>
      </c>
    </row>
    <row r="39" spans="1:12" x14ac:dyDescent="0.25">
      <c r="A39">
        <v>145</v>
      </c>
      <c r="C39">
        <v>7194868164</v>
      </c>
      <c r="D39">
        <v>33</v>
      </c>
      <c r="E39">
        <v>274</v>
      </c>
      <c r="F39">
        <v>0</v>
      </c>
      <c r="G39">
        <v>307</v>
      </c>
      <c r="H39">
        <v>4.7471449999999997</v>
      </c>
      <c r="I39">
        <v>-74.036225999999999</v>
      </c>
      <c r="J39">
        <f t="shared" si="0"/>
        <v>0</v>
      </c>
      <c r="K39">
        <f t="shared" si="1"/>
        <v>1</v>
      </c>
      <c r="L39">
        <v>37</v>
      </c>
    </row>
    <row r="40" spans="1:12" x14ac:dyDescent="0.25">
      <c r="A40">
        <v>133</v>
      </c>
      <c r="C40">
        <v>7194863853</v>
      </c>
      <c r="D40">
        <v>22</v>
      </c>
      <c r="E40">
        <v>280</v>
      </c>
      <c r="F40">
        <v>15</v>
      </c>
      <c r="G40">
        <v>317</v>
      </c>
      <c r="H40">
        <v>4.7324999999999999</v>
      </c>
      <c r="I40">
        <v>-74.065488000000002</v>
      </c>
      <c r="J40">
        <f t="shared" si="0"/>
        <v>1</v>
      </c>
      <c r="K40">
        <f t="shared" si="1"/>
        <v>1</v>
      </c>
      <c r="L40">
        <v>12</v>
      </c>
    </row>
    <row r="41" spans="1:12" x14ac:dyDescent="0.25">
      <c r="A41">
        <v>23</v>
      </c>
      <c r="C41">
        <v>7194841659</v>
      </c>
      <c r="D41">
        <v>17</v>
      </c>
      <c r="E41">
        <v>324</v>
      </c>
      <c r="F41">
        <v>0</v>
      </c>
      <c r="G41">
        <v>341</v>
      </c>
      <c r="H41">
        <v>4.6263579999999997</v>
      </c>
      <c r="I41">
        <v>-74.102267999999995</v>
      </c>
      <c r="J41">
        <f t="shared" si="0"/>
        <v>0</v>
      </c>
      <c r="K41">
        <f t="shared" si="1"/>
        <v>1</v>
      </c>
      <c r="L41">
        <v>110</v>
      </c>
    </row>
    <row r="42" spans="1:12" x14ac:dyDescent="0.25">
      <c r="A42">
        <v>162</v>
      </c>
      <c r="C42">
        <v>7194866333</v>
      </c>
      <c r="D42">
        <v>6</v>
      </c>
      <c r="E42">
        <v>383</v>
      </c>
      <c r="F42">
        <v>20</v>
      </c>
      <c r="G42">
        <v>409</v>
      </c>
      <c r="H42">
        <v>4.7967040000000001</v>
      </c>
      <c r="I42">
        <v>-74.210752999999997</v>
      </c>
      <c r="J42">
        <f t="shared" si="0"/>
        <v>1</v>
      </c>
      <c r="K42">
        <f t="shared" si="1"/>
        <v>1</v>
      </c>
      <c r="L42">
        <v>24</v>
      </c>
    </row>
    <row r="43" spans="1:12" x14ac:dyDescent="0.25">
      <c r="A43">
        <v>109</v>
      </c>
      <c r="C43">
        <v>7194836905</v>
      </c>
      <c r="D43">
        <v>67</v>
      </c>
      <c r="E43">
        <v>433</v>
      </c>
      <c r="F43">
        <v>0</v>
      </c>
      <c r="G43">
        <v>500</v>
      </c>
      <c r="H43">
        <v>4.6984589999999997</v>
      </c>
      <c r="I43">
        <v>-74.072867000000002</v>
      </c>
      <c r="J43">
        <f t="shared" si="0"/>
        <v>0</v>
      </c>
      <c r="K43">
        <f t="shared" si="1"/>
        <v>1</v>
      </c>
      <c r="L43">
        <v>0</v>
      </c>
    </row>
    <row r="44" spans="1:12" x14ac:dyDescent="0.25">
      <c r="A44">
        <v>48</v>
      </c>
      <c r="C44">
        <v>7194838571</v>
      </c>
      <c r="D44">
        <v>118</v>
      </c>
      <c r="E44">
        <v>440</v>
      </c>
      <c r="F44">
        <v>0</v>
      </c>
      <c r="G44">
        <v>558</v>
      </c>
      <c r="H44">
        <v>4.6471479999999996</v>
      </c>
      <c r="I44">
        <v>-74.105746999999994</v>
      </c>
      <c r="J44">
        <f t="shared" si="0"/>
        <v>0</v>
      </c>
      <c r="K44">
        <f t="shared" si="1"/>
        <v>1</v>
      </c>
      <c r="L44">
        <v>107</v>
      </c>
    </row>
    <row r="45" spans="1:12" x14ac:dyDescent="0.25">
      <c r="A45">
        <v>24</v>
      </c>
      <c r="C45">
        <v>7194865812</v>
      </c>
      <c r="D45">
        <v>88</v>
      </c>
      <c r="E45">
        <v>545</v>
      </c>
      <c r="F45">
        <v>0</v>
      </c>
      <c r="G45">
        <v>633</v>
      </c>
      <c r="H45">
        <v>4.626544</v>
      </c>
      <c r="I45">
        <v>-74.104303000000002</v>
      </c>
      <c r="J45">
        <f t="shared" si="0"/>
        <v>0</v>
      </c>
      <c r="K45">
        <f t="shared" si="1"/>
        <v>1</v>
      </c>
      <c r="L45">
        <v>30</v>
      </c>
    </row>
    <row r="46" spans="1:12" x14ac:dyDescent="0.25">
      <c r="A46">
        <v>82</v>
      </c>
      <c r="C46">
        <v>7194867721</v>
      </c>
      <c r="D46">
        <v>97</v>
      </c>
      <c r="E46">
        <v>791</v>
      </c>
      <c r="F46">
        <v>23</v>
      </c>
      <c r="G46">
        <v>911</v>
      </c>
      <c r="H46">
        <v>4.6772159999999996</v>
      </c>
      <c r="I46">
        <v>-74.137641000000002</v>
      </c>
      <c r="J46">
        <f t="shared" si="0"/>
        <v>1</v>
      </c>
      <c r="K46">
        <f t="shared" si="1"/>
        <v>1</v>
      </c>
      <c r="L46">
        <v>0</v>
      </c>
    </row>
    <row r="47" spans="1:12" x14ac:dyDescent="0.25">
      <c r="L47">
        <v>17</v>
      </c>
    </row>
    <row r="48" spans="1:12" x14ac:dyDescent="0.25">
      <c r="L48">
        <v>120</v>
      </c>
    </row>
    <row r="49" spans="12:12" x14ac:dyDescent="0.25">
      <c r="L49">
        <v>2</v>
      </c>
    </row>
    <row r="50" spans="12:12" x14ac:dyDescent="0.25">
      <c r="L50">
        <v>24</v>
      </c>
    </row>
    <row r="51" spans="12:12" x14ac:dyDescent="0.25">
      <c r="L51">
        <v>76</v>
      </c>
    </row>
    <row r="52" spans="12:12" x14ac:dyDescent="0.25">
      <c r="L52">
        <v>39</v>
      </c>
    </row>
    <row r="53" spans="12:12" x14ac:dyDescent="0.25">
      <c r="L53">
        <v>103</v>
      </c>
    </row>
    <row r="54" spans="12:12" x14ac:dyDescent="0.25">
      <c r="L54">
        <v>39</v>
      </c>
    </row>
    <row r="55" spans="12:12" x14ac:dyDescent="0.25">
      <c r="L55">
        <v>0</v>
      </c>
    </row>
    <row r="56" spans="12:12" x14ac:dyDescent="0.25">
      <c r="L56">
        <v>82</v>
      </c>
    </row>
    <row r="57" spans="12:12" x14ac:dyDescent="0.25">
      <c r="L57">
        <v>62</v>
      </c>
    </row>
    <row r="58" spans="12:12" x14ac:dyDescent="0.25">
      <c r="L58">
        <v>0</v>
      </c>
    </row>
    <row r="59" spans="12:12" x14ac:dyDescent="0.25">
      <c r="L59">
        <v>2</v>
      </c>
    </row>
    <row r="60" spans="12:12" x14ac:dyDescent="0.25">
      <c r="L60">
        <v>145</v>
      </c>
    </row>
    <row r="61" spans="12:12" x14ac:dyDescent="0.25">
      <c r="L61">
        <v>0</v>
      </c>
    </row>
    <row r="62" spans="12:12" x14ac:dyDescent="0.25">
      <c r="L62">
        <v>2</v>
      </c>
    </row>
    <row r="63" spans="12:12" x14ac:dyDescent="0.25">
      <c r="L63">
        <v>148</v>
      </c>
    </row>
    <row r="64" spans="12:12" x14ac:dyDescent="0.25">
      <c r="L64">
        <v>0</v>
      </c>
    </row>
    <row r="65" spans="12:12" x14ac:dyDescent="0.25">
      <c r="L65">
        <v>6</v>
      </c>
    </row>
    <row r="66" spans="12:12" x14ac:dyDescent="0.25">
      <c r="L66">
        <v>150</v>
      </c>
    </row>
    <row r="67" spans="12:12" x14ac:dyDescent="0.25">
      <c r="L67">
        <v>0</v>
      </c>
    </row>
    <row r="68" spans="12:12" x14ac:dyDescent="0.25">
      <c r="L68">
        <v>102</v>
      </c>
    </row>
    <row r="69" spans="12:12" x14ac:dyDescent="0.25">
      <c r="L69">
        <v>54</v>
      </c>
    </row>
    <row r="70" spans="12:12" x14ac:dyDescent="0.25">
      <c r="L70">
        <v>0</v>
      </c>
    </row>
    <row r="71" spans="12:12" x14ac:dyDescent="0.25">
      <c r="L71">
        <v>3</v>
      </c>
    </row>
    <row r="72" spans="12:12" x14ac:dyDescent="0.25">
      <c r="L72">
        <v>158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145</v>
      </c>
    </row>
    <row r="76" spans="12:12" x14ac:dyDescent="0.25">
      <c r="L76">
        <v>10</v>
      </c>
    </row>
    <row r="77" spans="12:12" x14ac:dyDescent="0.25">
      <c r="L77">
        <v>1</v>
      </c>
    </row>
    <row r="78" spans="12:12" x14ac:dyDescent="0.25">
      <c r="L78">
        <v>170</v>
      </c>
    </row>
    <row r="79" spans="12:12" x14ac:dyDescent="0.25">
      <c r="L79">
        <v>0</v>
      </c>
    </row>
    <row r="80" spans="12:12" x14ac:dyDescent="0.25">
      <c r="L80">
        <v>1</v>
      </c>
    </row>
    <row r="81" spans="12:12" x14ac:dyDescent="0.25">
      <c r="L81">
        <v>198</v>
      </c>
    </row>
    <row r="82" spans="12:12" x14ac:dyDescent="0.25">
      <c r="L82">
        <v>0</v>
      </c>
    </row>
    <row r="83" spans="12:12" x14ac:dyDescent="0.25">
      <c r="L83">
        <v>35</v>
      </c>
    </row>
    <row r="84" spans="12:12" x14ac:dyDescent="0.25">
      <c r="L84">
        <v>168</v>
      </c>
    </row>
    <row r="85" spans="12:12" x14ac:dyDescent="0.25">
      <c r="L85">
        <v>0</v>
      </c>
    </row>
    <row r="86" spans="12:12" x14ac:dyDescent="0.25">
      <c r="L86">
        <v>69</v>
      </c>
    </row>
    <row r="87" spans="12:12" x14ac:dyDescent="0.25">
      <c r="L87">
        <v>172</v>
      </c>
    </row>
    <row r="88" spans="12:12" x14ac:dyDescent="0.25">
      <c r="L88">
        <v>0</v>
      </c>
    </row>
    <row r="89" spans="12:12" x14ac:dyDescent="0.25">
      <c r="L89">
        <v>61</v>
      </c>
    </row>
    <row r="90" spans="12:12" x14ac:dyDescent="0.25">
      <c r="L90">
        <v>181</v>
      </c>
    </row>
    <row r="91" spans="12:12" x14ac:dyDescent="0.25">
      <c r="L91">
        <v>0</v>
      </c>
    </row>
    <row r="92" spans="12:12" x14ac:dyDescent="0.25">
      <c r="L92">
        <v>55</v>
      </c>
    </row>
    <row r="93" spans="12:12" x14ac:dyDescent="0.25">
      <c r="L93">
        <v>191</v>
      </c>
    </row>
    <row r="94" spans="12:12" x14ac:dyDescent="0.25">
      <c r="L94">
        <v>0</v>
      </c>
    </row>
    <row r="95" spans="12:12" x14ac:dyDescent="0.25">
      <c r="L95">
        <v>184</v>
      </c>
    </row>
    <row r="96" spans="12:12" x14ac:dyDescent="0.25">
      <c r="L96">
        <v>67</v>
      </c>
    </row>
    <row r="97" spans="12:12" x14ac:dyDescent="0.25">
      <c r="L97">
        <v>0</v>
      </c>
    </row>
    <row r="98" spans="12:12" x14ac:dyDescent="0.25">
      <c r="L98">
        <v>145</v>
      </c>
    </row>
    <row r="99" spans="12:12" x14ac:dyDescent="0.25">
      <c r="L99">
        <v>115</v>
      </c>
    </row>
    <row r="100" spans="12:12" x14ac:dyDescent="0.25">
      <c r="L100">
        <v>0</v>
      </c>
    </row>
    <row r="101" spans="12:12" x14ac:dyDescent="0.25">
      <c r="L101">
        <v>2</v>
      </c>
    </row>
    <row r="102" spans="12:12" x14ac:dyDescent="0.25">
      <c r="L102">
        <v>271</v>
      </c>
    </row>
    <row r="103" spans="12:12" x14ac:dyDescent="0.25">
      <c r="L103">
        <v>0</v>
      </c>
    </row>
    <row r="104" spans="12:12" x14ac:dyDescent="0.25">
      <c r="L104">
        <v>16</v>
      </c>
    </row>
    <row r="105" spans="12:12" x14ac:dyDescent="0.25">
      <c r="L105">
        <v>269</v>
      </c>
    </row>
    <row r="106" spans="12:12" x14ac:dyDescent="0.25">
      <c r="L106">
        <v>0</v>
      </c>
    </row>
    <row r="107" spans="12:12" x14ac:dyDescent="0.25">
      <c r="L107">
        <v>39</v>
      </c>
    </row>
    <row r="108" spans="12:12" x14ac:dyDescent="0.25">
      <c r="L108">
        <v>246</v>
      </c>
    </row>
    <row r="109" spans="12:12" x14ac:dyDescent="0.25">
      <c r="L109">
        <v>0</v>
      </c>
    </row>
    <row r="110" spans="12:12" x14ac:dyDescent="0.25">
      <c r="L110">
        <v>35</v>
      </c>
    </row>
    <row r="111" spans="12:12" x14ac:dyDescent="0.25">
      <c r="L111">
        <v>272</v>
      </c>
    </row>
    <row r="112" spans="12:12" x14ac:dyDescent="0.25">
      <c r="L112">
        <v>0</v>
      </c>
    </row>
    <row r="113" spans="12:12" x14ac:dyDescent="0.25">
      <c r="L113">
        <v>33</v>
      </c>
    </row>
    <row r="114" spans="12:12" x14ac:dyDescent="0.25">
      <c r="L114">
        <v>274</v>
      </c>
    </row>
    <row r="115" spans="12:12" x14ac:dyDescent="0.25">
      <c r="L115">
        <v>0</v>
      </c>
    </row>
    <row r="116" spans="12:12" x14ac:dyDescent="0.25">
      <c r="L116">
        <v>22</v>
      </c>
    </row>
    <row r="117" spans="12:12" x14ac:dyDescent="0.25">
      <c r="L117">
        <v>280</v>
      </c>
    </row>
    <row r="118" spans="12:12" x14ac:dyDescent="0.25">
      <c r="L118">
        <v>15</v>
      </c>
    </row>
    <row r="119" spans="12:12" x14ac:dyDescent="0.25">
      <c r="L119">
        <v>17</v>
      </c>
    </row>
    <row r="120" spans="12:12" x14ac:dyDescent="0.25">
      <c r="L120">
        <v>324</v>
      </c>
    </row>
    <row r="121" spans="12:12" x14ac:dyDescent="0.25">
      <c r="L121">
        <v>0</v>
      </c>
    </row>
    <row r="122" spans="12:12" x14ac:dyDescent="0.25">
      <c r="L122">
        <v>6</v>
      </c>
    </row>
    <row r="123" spans="12:12" x14ac:dyDescent="0.25">
      <c r="L123">
        <v>383</v>
      </c>
    </row>
    <row r="124" spans="12:12" x14ac:dyDescent="0.25">
      <c r="L124">
        <v>20</v>
      </c>
    </row>
    <row r="125" spans="12:12" x14ac:dyDescent="0.25">
      <c r="L125">
        <v>67</v>
      </c>
    </row>
    <row r="126" spans="12:12" x14ac:dyDescent="0.25">
      <c r="L126">
        <v>433</v>
      </c>
    </row>
    <row r="127" spans="12:12" x14ac:dyDescent="0.25">
      <c r="L127">
        <v>0</v>
      </c>
    </row>
    <row r="128" spans="12:12" x14ac:dyDescent="0.25">
      <c r="L128">
        <v>118</v>
      </c>
    </row>
    <row r="129" spans="12:12" x14ac:dyDescent="0.25">
      <c r="L129">
        <v>440</v>
      </c>
    </row>
    <row r="130" spans="12:12" x14ac:dyDescent="0.25">
      <c r="L130">
        <v>0</v>
      </c>
    </row>
    <row r="131" spans="12:12" x14ac:dyDescent="0.25">
      <c r="L131">
        <v>88</v>
      </c>
    </row>
    <row r="132" spans="12:12" x14ac:dyDescent="0.25">
      <c r="L132">
        <v>545</v>
      </c>
    </row>
    <row r="133" spans="12:12" x14ac:dyDescent="0.25">
      <c r="L133">
        <v>0</v>
      </c>
    </row>
    <row r="134" spans="12:12" x14ac:dyDescent="0.25">
      <c r="L134">
        <v>97</v>
      </c>
    </row>
    <row r="135" spans="12:12" x14ac:dyDescent="0.25">
      <c r="L135">
        <v>791</v>
      </c>
    </row>
    <row r="136" spans="12:12" x14ac:dyDescent="0.25">
      <c r="L136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B611-F8C8-4156-993D-5DFBCCACB0D7}">
  <dimension ref="A1:EB121"/>
  <sheetViews>
    <sheetView workbookViewId="0">
      <selection activeCell="H2" sqref="H2:I41"/>
    </sheetView>
  </sheetViews>
  <sheetFormatPr defaultColWidth="9.140625" defaultRowHeight="15" x14ac:dyDescent="0.25"/>
  <sheetData>
    <row r="1" spans="1:13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3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21">TRANSPOSE(_xlfn.ANCHORARRAY(M2))</f>
        <v>3</v>
      </c>
      <c r="M2" cm="1">
        <f t="array" ref="M2:EB2">TRANSPOSE(_xlfn.FILTERXML("&lt;t&gt;&lt;s&gt;" &amp; _xlfn.TEXTJOIN("&lt;/s&gt;&lt;s&gt;",,D2:F41)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2</v>
      </c>
      <c r="BD2">
        <v>145</v>
      </c>
      <c r="BE2">
        <v>0</v>
      </c>
      <c r="BF2">
        <v>2</v>
      </c>
      <c r="BG2">
        <v>148</v>
      </c>
      <c r="BH2">
        <v>0</v>
      </c>
      <c r="BI2">
        <v>6</v>
      </c>
      <c r="BJ2">
        <v>150</v>
      </c>
      <c r="BK2">
        <v>0</v>
      </c>
      <c r="BL2">
        <v>102</v>
      </c>
      <c r="BM2">
        <v>54</v>
      </c>
      <c r="BN2">
        <v>0</v>
      </c>
      <c r="BO2">
        <v>3</v>
      </c>
      <c r="BP2">
        <v>158</v>
      </c>
      <c r="BQ2">
        <v>0</v>
      </c>
      <c r="BR2">
        <v>16</v>
      </c>
      <c r="BS2">
        <v>145</v>
      </c>
      <c r="BT2">
        <v>10</v>
      </c>
      <c r="BU2">
        <v>1</v>
      </c>
      <c r="BV2">
        <v>170</v>
      </c>
      <c r="BW2">
        <v>0</v>
      </c>
      <c r="BX2">
        <v>1</v>
      </c>
      <c r="BY2">
        <v>198</v>
      </c>
      <c r="BZ2">
        <v>0</v>
      </c>
      <c r="CA2">
        <v>35</v>
      </c>
      <c r="CB2">
        <v>168</v>
      </c>
      <c r="CC2">
        <v>0</v>
      </c>
      <c r="CD2">
        <v>69</v>
      </c>
      <c r="CE2">
        <v>172</v>
      </c>
      <c r="CF2">
        <v>0</v>
      </c>
      <c r="CG2">
        <v>61</v>
      </c>
      <c r="CH2">
        <v>181</v>
      </c>
      <c r="CI2">
        <v>0</v>
      </c>
      <c r="CJ2">
        <v>55</v>
      </c>
      <c r="CK2">
        <v>191</v>
      </c>
      <c r="CL2">
        <v>0</v>
      </c>
      <c r="CM2">
        <v>184</v>
      </c>
      <c r="CN2">
        <v>67</v>
      </c>
      <c r="CO2">
        <v>0</v>
      </c>
      <c r="CP2">
        <v>145</v>
      </c>
      <c r="CQ2">
        <v>115</v>
      </c>
      <c r="CR2">
        <v>0</v>
      </c>
      <c r="CS2">
        <v>2</v>
      </c>
      <c r="CT2">
        <v>271</v>
      </c>
      <c r="CU2">
        <v>0</v>
      </c>
      <c r="CV2">
        <v>16</v>
      </c>
      <c r="CW2">
        <v>269</v>
      </c>
      <c r="CX2">
        <v>0</v>
      </c>
      <c r="CY2">
        <v>39</v>
      </c>
      <c r="CZ2">
        <v>246</v>
      </c>
      <c r="DA2">
        <v>0</v>
      </c>
      <c r="DB2">
        <v>35</v>
      </c>
      <c r="DC2">
        <v>272</v>
      </c>
      <c r="DD2">
        <v>0</v>
      </c>
      <c r="DE2">
        <v>33</v>
      </c>
      <c r="DF2">
        <v>274</v>
      </c>
      <c r="DG2">
        <v>0</v>
      </c>
      <c r="DH2">
        <v>22</v>
      </c>
      <c r="DI2">
        <v>280</v>
      </c>
      <c r="DJ2">
        <v>15</v>
      </c>
      <c r="DK2">
        <v>17</v>
      </c>
      <c r="DL2">
        <v>324</v>
      </c>
      <c r="DM2">
        <v>0</v>
      </c>
      <c r="DN2">
        <v>6</v>
      </c>
      <c r="DO2">
        <v>383</v>
      </c>
      <c r="DP2">
        <v>20</v>
      </c>
      <c r="DQ2">
        <v>67</v>
      </c>
      <c r="DR2">
        <v>433</v>
      </c>
      <c r="DS2">
        <v>0</v>
      </c>
      <c r="DT2">
        <v>118</v>
      </c>
      <c r="DU2">
        <v>440</v>
      </c>
      <c r="DV2">
        <v>0</v>
      </c>
      <c r="DW2">
        <v>88</v>
      </c>
      <c r="DX2">
        <v>545</v>
      </c>
      <c r="DY2">
        <v>0</v>
      </c>
      <c r="DZ2">
        <v>97</v>
      </c>
      <c r="EA2">
        <v>791</v>
      </c>
      <c r="EB2">
        <v>23</v>
      </c>
    </row>
    <row r="3" spans="1:13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3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3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3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3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3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41" si="0">IF(AND(D8&gt;=1,E8&gt;=1,F8&gt;=1),1,0)</f>
        <v>1</v>
      </c>
      <c r="K8">
        <f t="shared" ref="K8:K41" si="1">IF((D8&gt;=1)+(E8&gt;=1)+(F8&gt;=1)&gt;=2,1,0)</f>
        <v>1</v>
      </c>
      <c r="L8">
        <v>20</v>
      </c>
    </row>
    <row r="9" spans="1:13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3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3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3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3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3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3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32" x14ac:dyDescent="0.25">
      <c r="A16">
        <v>167</v>
      </c>
      <c r="C16">
        <v>7194824245</v>
      </c>
      <c r="D16">
        <v>2</v>
      </c>
      <c r="E16">
        <v>145</v>
      </c>
      <c r="F16">
        <v>0</v>
      </c>
      <c r="G16">
        <v>147</v>
      </c>
      <c r="H16">
        <v>4.8659999999999997</v>
      </c>
      <c r="I16">
        <v>-73.955799999999996</v>
      </c>
      <c r="J16">
        <f t="shared" si="0"/>
        <v>0</v>
      </c>
      <c r="K16">
        <f t="shared" si="1"/>
        <v>1</v>
      </c>
      <c r="L16">
        <v>10</v>
      </c>
    </row>
    <row r="17" spans="1:12" x14ac:dyDescent="0.25">
      <c r="A17">
        <v>86</v>
      </c>
      <c r="C17">
        <v>7194839241</v>
      </c>
      <c r="D17">
        <v>2</v>
      </c>
      <c r="E17">
        <v>148</v>
      </c>
      <c r="F17">
        <v>0</v>
      </c>
      <c r="G17">
        <v>150</v>
      </c>
      <c r="H17">
        <v>4.6825570000000001</v>
      </c>
      <c r="I17">
        <v>-74.134210999999993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8</v>
      </c>
      <c r="C18">
        <v>7194867817</v>
      </c>
      <c r="D18">
        <v>6</v>
      </c>
      <c r="E18">
        <v>150</v>
      </c>
      <c r="F18">
        <v>0</v>
      </c>
      <c r="G18">
        <v>156</v>
      </c>
      <c r="H18">
        <v>4.599297</v>
      </c>
      <c r="I18">
        <v>-74.142263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169</v>
      </c>
      <c r="C19">
        <v>7194867930</v>
      </c>
      <c r="D19">
        <v>102</v>
      </c>
      <c r="E19">
        <v>54</v>
      </c>
      <c r="F19">
        <v>0</v>
      </c>
      <c r="G19">
        <v>156</v>
      </c>
      <c r="H19">
        <v>4.8871969999999996</v>
      </c>
      <c r="I19">
        <v>-73.963700000000003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3</v>
      </c>
      <c r="C20">
        <v>7194866739</v>
      </c>
      <c r="D20">
        <v>3</v>
      </c>
      <c r="E20">
        <v>158</v>
      </c>
      <c r="F20">
        <v>0</v>
      </c>
      <c r="G20">
        <v>161</v>
      </c>
      <c r="H20">
        <v>4.5795170000000001</v>
      </c>
      <c r="I20">
        <v>-74.125364000000005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28</v>
      </c>
      <c r="C21">
        <v>7194862671</v>
      </c>
      <c r="D21">
        <v>16</v>
      </c>
      <c r="E21">
        <v>145</v>
      </c>
      <c r="F21">
        <v>10</v>
      </c>
      <c r="G21">
        <v>171</v>
      </c>
      <c r="H21">
        <v>4.6292799999999996</v>
      </c>
      <c r="I21">
        <v>-74.105988999999994</v>
      </c>
      <c r="J21">
        <f t="shared" si="0"/>
        <v>1</v>
      </c>
      <c r="K21">
        <f t="shared" si="1"/>
        <v>1</v>
      </c>
      <c r="L21">
        <v>9</v>
      </c>
    </row>
    <row r="22" spans="1:12" x14ac:dyDescent="0.25">
      <c r="A22">
        <v>37</v>
      </c>
      <c r="C22">
        <v>7194802793</v>
      </c>
      <c r="D22">
        <v>1</v>
      </c>
      <c r="E22">
        <v>170</v>
      </c>
      <c r="F22">
        <v>0</v>
      </c>
      <c r="G22">
        <v>171</v>
      </c>
      <c r="H22">
        <v>4.6333570000000002</v>
      </c>
      <c r="I22">
        <v>-74.117958999999999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107</v>
      </c>
      <c r="C23">
        <v>7194867044</v>
      </c>
      <c r="D23">
        <v>1</v>
      </c>
      <c r="E23">
        <v>198</v>
      </c>
      <c r="F23">
        <v>0</v>
      </c>
      <c r="G23">
        <v>199</v>
      </c>
      <c r="H23">
        <v>4.6975939999999996</v>
      </c>
      <c r="I23">
        <v>-74.139038999999997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36</v>
      </c>
      <c r="C24">
        <v>7194862665</v>
      </c>
      <c r="D24">
        <v>35</v>
      </c>
      <c r="E24">
        <v>168</v>
      </c>
      <c r="F24">
        <v>0</v>
      </c>
      <c r="G24">
        <v>203</v>
      </c>
      <c r="H24">
        <v>4.6331030000000002</v>
      </c>
      <c r="I24">
        <v>-74.156147000000004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154</v>
      </c>
      <c r="C25">
        <v>7194865820</v>
      </c>
      <c r="D25">
        <v>69</v>
      </c>
      <c r="E25">
        <v>172</v>
      </c>
      <c r="F25">
        <v>0</v>
      </c>
      <c r="G25">
        <v>241</v>
      </c>
      <c r="H25">
        <v>4.7753509999999997</v>
      </c>
      <c r="I25">
        <v>-74.14049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73</v>
      </c>
      <c r="C26">
        <v>7194830323</v>
      </c>
      <c r="D26">
        <v>61</v>
      </c>
      <c r="E26">
        <v>181</v>
      </c>
      <c r="F26">
        <v>0</v>
      </c>
      <c r="G26">
        <v>242</v>
      </c>
      <c r="H26">
        <v>4.6688489999999998</v>
      </c>
      <c r="I26">
        <v>-74.056647999999996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120</v>
      </c>
      <c r="C27">
        <v>7194838368</v>
      </c>
      <c r="D27">
        <v>55</v>
      </c>
      <c r="E27">
        <v>191</v>
      </c>
      <c r="F27">
        <v>0</v>
      </c>
      <c r="G27">
        <v>246</v>
      </c>
      <c r="H27">
        <v>4.7064570000000003</v>
      </c>
      <c r="I27">
        <v>-74.051321999999999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112</v>
      </c>
      <c r="C28">
        <v>7194865133</v>
      </c>
      <c r="D28">
        <v>184</v>
      </c>
      <c r="E28">
        <v>67</v>
      </c>
      <c r="F28">
        <v>0</v>
      </c>
      <c r="G28">
        <v>251</v>
      </c>
      <c r="H28">
        <v>4.7021290000000002</v>
      </c>
      <c r="I28">
        <v>-74.082421999999994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25</v>
      </c>
      <c r="C29">
        <v>7194860631</v>
      </c>
      <c r="D29">
        <v>145</v>
      </c>
      <c r="E29">
        <v>115</v>
      </c>
      <c r="F29">
        <v>0</v>
      </c>
      <c r="G29">
        <v>260</v>
      </c>
      <c r="H29">
        <v>4.6269130000000001</v>
      </c>
      <c r="I29">
        <v>-74.064733000000004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43</v>
      </c>
      <c r="C30">
        <v>7194868925</v>
      </c>
      <c r="D30">
        <v>2</v>
      </c>
      <c r="E30">
        <v>271</v>
      </c>
      <c r="F30">
        <v>0</v>
      </c>
      <c r="G30">
        <v>273</v>
      </c>
      <c r="H30">
        <v>4.6410830000000001</v>
      </c>
      <c r="I30">
        <v>-74.114226000000002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31</v>
      </c>
      <c r="C31">
        <v>7194865698</v>
      </c>
      <c r="D31">
        <v>16</v>
      </c>
      <c r="E31">
        <v>269</v>
      </c>
      <c r="F31">
        <v>0</v>
      </c>
      <c r="G31">
        <v>285</v>
      </c>
      <c r="H31">
        <v>4.6304800000000004</v>
      </c>
      <c r="I31">
        <v>-74.092879999999994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70</v>
      </c>
      <c r="C32">
        <v>7194865583</v>
      </c>
      <c r="D32">
        <v>39</v>
      </c>
      <c r="E32">
        <v>246</v>
      </c>
      <c r="F32">
        <v>0</v>
      </c>
      <c r="G32">
        <v>285</v>
      </c>
      <c r="H32">
        <v>4.6646330000000003</v>
      </c>
      <c r="I32">
        <v>-74.078505000000007</v>
      </c>
      <c r="J32">
        <f t="shared" si="0"/>
        <v>0</v>
      </c>
      <c r="K32">
        <f t="shared" si="1"/>
        <v>1</v>
      </c>
      <c r="L32">
        <v>2</v>
      </c>
    </row>
    <row r="33" spans="1:12" x14ac:dyDescent="0.25">
      <c r="A33">
        <v>83</v>
      </c>
      <c r="C33">
        <v>7194837268</v>
      </c>
      <c r="D33">
        <v>35</v>
      </c>
      <c r="E33">
        <v>272</v>
      </c>
      <c r="F33">
        <v>0</v>
      </c>
      <c r="G33">
        <v>307</v>
      </c>
      <c r="H33">
        <v>4.678858</v>
      </c>
      <c r="I33">
        <v>-74.127341999999999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145</v>
      </c>
      <c r="C34">
        <v>7194868164</v>
      </c>
      <c r="D34">
        <v>33</v>
      </c>
      <c r="E34">
        <v>274</v>
      </c>
      <c r="F34">
        <v>0</v>
      </c>
      <c r="G34">
        <v>307</v>
      </c>
      <c r="H34">
        <v>4.7471449999999997</v>
      </c>
      <c r="I34">
        <v>-74.036225999999999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133</v>
      </c>
      <c r="C35">
        <v>7194863853</v>
      </c>
      <c r="D35">
        <v>22</v>
      </c>
      <c r="E35">
        <v>280</v>
      </c>
      <c r="F35">
        <v>15</v>
      </c>
      <c r="G35">
        <v>317</v>
      </c>
      <c r="H35">
        <v>4.7324999999999999</v>
      </c>
      <c r="I35">
        <v>-74.065488000000002</v>
      </c>
      <c r="J35">
        <f t="shared" si="0"/>
        <v>1</v>
      </c>
      <c r="K35">
        <f t="shared" si="1"/>
        <v>1</v>
      </c>
      <c r="L35">
        <v>78</v>
      </c>
    </row>
    <row r="36" spans="1:12" x14ac:dyDescent="0.25">
      <c r="A36">
        <v>23</v>
      </c>
      <c r="C36">
        <v>7194841659</v>
      </c>
      <c r="D36">
        <v>17</v>
      </c>
      <c r="E36">
        <v>324</v>
      </c>
      <c r="F36">
        <v>0</v>
      </c>
      <c r="G36">
        <v>341</v>
      </c>
      <c r="H36">
        <v>4.6263579999999997</v>
      </c>
      <c r="I36">
        <v>-74.102267999999995</v>
      </c>
      <c r="J36">
        <f t="shared" si="0"/>
        <v>0</v>
      </c>
      <c r="K36">
        <f t="shared" si="1"/>
        <v>1</v>
      </c>
      <c r="L36">
        <v>37</v>
      </c>
    </row>
    <row r="37" spans="1:12" x14ac:dyDescent="0.25">
      <c r="A37">
        <v>162</v>
      </c>
      <c r="C37">
        <v>7194866333</v>
      </c>
      <c r="D37">
        <v>6</v>
      </c>
      <c r="E37">
        <v>383</v>
      </c>
      <c r="F37">
        <v>20</v>
      </c>
      <c r="G37">
        <v>409</v>
      </c>
      <c r="H37">
        <v>4.7967040000000001</v>
      </c>
      <c r="I37">
        <v>-74.210752999999997</v>
      </c>
      <c r="J37">
        <f t="shared" si="0"/>
        <v>1</v>
      </c>
      <c r="K37">
        <f t="shared" si="1"/>
        <v>1</v>
      </c>
      <c r="L37">
        <v>12</v>
      </c>
    </row>
    <row r="38" spans="1:12" x14ac:dyDescent="0.25">
      <c r="A38">
        <v>109</v>
      </c>
      <c r="C38">
        <v>7194836905</v>
      </c>
      <c r="D38">
        <v>67</v>
      </c>
      <c r="E38">
        <v>433</v>
      </c>
      <c r="F38">
        <v>0</v>
      </c>
      <c r="G38">
        <v>500</v>
      </c>
      <c r="H38">
        <v>4.6984589999999997</v>
      </c>
      <c r="I38">
        <v>-74.072867000000002</v>
      </c>
      <c r="J38">
        <f t="shared" si="0"/>
        <v>0</v>
      </c>
      <c r="K38">
        <f t="shared" si="1"/>
        <v>1</v>
      </c>
      <c r="L38">
        <v>17</v>
      </c>
    </row>
    <row r="39" spans="1:12" x14ac:dyDescent="0.25">
      <c r="A39">
        <v>48</v>
      </c>
      <c r="C39">
        <v>7194838571</v>
      </c>
      <c r="D39">
        <v>118</v>
      </c>
      <c r="E39">
        <v>440</v>
      </c>
      <c r="F39">
        <v>0</v>
      </c>
      <c r="G39">
        <v>558</v>
      </c>
      <c r="H39">
        <v>4.6471479999999996</v>
      </c>
      <c r="I39">
        <v>-74.105746999999994</v>
      </c>
      <c r="J39">
        <f t="shared" si="0"/>
        <v>0</v>
      </c>
      <c r="K39">
        <f t="shared" si="1"/>
        <v>1</v>
      </c>
      <c r="L39">
        <v>120</v>
      </c>
    </row>
    <row r="40" spans="1:12" x14ac:dyDescent="0.25">
      <c r="A40">
        <v>24</v>
      </c>
      <c r="C40">
        <v>7194865812</v>
      </c>
      <c r="D40">
        <v>88</v>
      </c>
      <c r="E40">
        <v>545</v>
      </c>
      <c r="F40">
        <v>0</v>
      </c>
      <c r="G40">
        <v>633</v>
      </c>
      <c r="H40">
        <v>4.626544</v>
      </c>
      <c r="I40">
        <v>-74.104303000000002</v>
      </c>
      <c r="J40">
        <f t="shared" si="0"/>
        <v>0</v>
      </c>
      <c r="K40">
        <f t="shared" si="1"/>
        <v>1</v>
      </c>
      <c r="L40">
        <v>2</v>
      </c>
    </row>
    <row r="41" spans="1:12" x14ac:dyDescent="0.25">
      <c r="A41">
        <v>82</v>
      </c>
      <c r="C41">
        <v>7194867721</v>
      </c>
      <c r="D41">
        <v>97</v>
      </c>
      <c r="E41">
        <v>791</v>
      </c>
      <c r="F41">
        <v>23</v>
      </c>
      <c r="G41">
        <v>911</v>
      </c>
      <c r="H41">
        <v>4.6772159999999996</v>
      </c>
      <c r="I41">
        <v>-74.137641000000002</v>
      </c>
      <c r="J41">
        <f t="shared" si="0"/>
        <v>1</v>
      </c>
      <c r="K41">
        <f t="shared" si="1"/>
        <v>1</v>
      </c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2</v>
      </c>
    </row>
    <row r="45" spans="1:12" x14ac:dyDescent="0.25">
      <c r="L45">
        <v>145</v>
      </c>
    </row>
    <row r="46" spans="1:12" x14ac:dyDescent="0.25">
      <c r="L46">
        <v>0</v>
      </c>
    </row>
    <row r="47" spans="1:12" x14ac:dyDescent="0.25">
      <c r="L47">
        <v>2</v>
      </c>
    </row>
    <row r="48" spans="1:12" x14ac:dyDescent="0.25">
      <c r="L48">
        <v>148</v>
      </c>
    </row>
    <row r="49" spans="12:12" x14ac:dyDescent="0.25">
      <c r="L49">
        <v>0</v>
      </c>
    </row>
    <row r="50" spans="12:12" x14ac:dyDescent="0.25">
      <c r="L50">
        <v>6</v>
      </c>
    </row>
    <row r="51" spans="12:12" x14ac:dyDescent="0.25">
      <c r="L51">
        <v>150</v>
      </c>
    </row>
    <row r="52" spans="12:12" x14ac:dyDescent="0.25">
      <c r="L52">
        <v>0</v>
      </c>
    </row>
    <row r="53" spans="12:12" x14ac:dyDescent="0.25">
      <c r="L53">
        <v>102</v>
      </c>
    </row>
    <row r="54" spans="12:12" x14ac:dyDescent="0.25">
      <c r="L54">
        <v>54</v>
      </c>
    </row>
    <row r="55" spans="12:12" x14ac:dyDescent="0.25">
      <c r="L55">
        <v>0</v>
      </c>
    </row>
    <row r="56" spans="12:12" x14ac:dyDescent="0.25">
      <c r="L56">
        <v>3</v>
      </c>
    </row>
    <row r="57" spans="12:12" x14ac:dyDescent="0.25">
      <c r="L57">
        <v>158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145</v>
      </c>
    </row>
    <row r="61" spans="12:12" x14ac:dyDescent="0.25">
      <c r="L61">
        <v>10</v>
      </c>
    </row>
    <row r="62" spans="12:12" x14ac:dyDescent="0.25">
      <c r="L62">
        <v>1</v>
      </c>
    </row>
    <row r="63" spans="12:12" x14ac:dyDescent="0.25">
      <c r="L63">
        <v>170</v>
      </c>
    </row>
    <row r="64" spans="12:12" x14ac:dyDescent="0.25">
      <c r="L64">
        <v>0</v>
      </c>
    </row>
    <row r="65" spans="12:12" x14ac:dyDescent="0.25">
      <c r="L65">
        <v>1</v>
      </c>
    </row>
    <row r="66" spans="12:12" x14ac:dyDescent="0.25">
      <c r="L66">
        <v>198</v>
      </c>
    </row>
    <row r="67" spans="12:12" x14ac:dyDescent="0.25">
      <c r="L67">
        <v>0</v>
      </c>
    </row>
    <row r="68" spans="12:12" x14ac:dyDescent="0.25">
      <c r="L68">
        <v>35</v>
      </c>
    </row>
    <row r="69" spans="12:12" x14ac:dyDescent="0.25">
      <c r="L69">
        <v>168</v>
      </c>
    </row>
    <row r="70" spans="12:12" x14ac:dyDescent="0.25">
      <c r="L70">
        <v>0</v>
      </c>
    </row>
    <row r="71" spans="12:12" x14ac:dyDescent="0.25">
      <c r="L71">
        <v>69</v>
      </c>
    </row>
    <row r="72" spans="12:12" x14ac:dyDescent="0.25">
      <c r="L72">
        <v>172</v>
      </c>
    </row>
    <row r="73" spans="12:12" x14ac:dyDescent="0.25">
      <c r="L73">
        <v>0</v>
      </c>
    </row>
    <row r="74" spans="12:12" x14ac:dyDescent="0.25">
      <c r="L74">
        <v>61</v>
      </c>
    </row>
    <row r="75" spans="12:12" x14ac:dyDescent="0.25">
      <c r="L75">
        <v>181</v>
      </c>
    </row>
    <row r="76" spans="12:12" x14ac:dyDescent="0.25">
      <c r="L76">
        <v>0</v>
      </c>
    </row>
    <row r="77" spans="12:12" x14ac:dyDescent="0.25">
      <c r="L77">
        <v>55</v>
      </c>
    </row>
    <row r="78" spans="12:12" x14ac:dyDescent="0.25">
      <c r="L78">
        <v>191</v>
      </c>
    </row>
    <row r="79" spans="12:12" x14ac:dyDescent="0.25">
      <c r="L79">
        <v>0</v>
      </c>
    </row>
    <row r="80" spans="12:12" x14ac:dyDescent="0.25">
      <c r="L80">
        <v>184</v>
      </c>
    </row>
    <row r="81" spans="12:12" x14ac:dyDescent="0.25">
      <c r="L81">
        <v>67</v>
      </c>
    </row>
    <row r="82" spans="12:12" x14ac:dyDescent="0.25">
      <c r="L82">
        <v>0</v>
      </c>
    </row>
    <row r="83" spans="12:12" x14ac:dyDescent="0.25">
      <c r="L83">
        <v>145</v>
      </c>
    </row>
    <row r="84" spans="12:12" x14ac:dyDescent="0.25">
      <c r="L84">
        <v>115</v>
      </c>
    </row>
    <row r="85" spans="12:12" x14ac:dyDescent="0.25">
      <c r="L85">
        <v>0</v>
      </c>
    </row>
    <row r="86" spans="12:12" x14ac:dyDescent="0.25">
      <c r="L86">
        <v>2</v>
      </c>
    </row>
    <row r="87" spans="12:12" x14ac:dyDescent="0.25">
      <c r="L87">
        <v>271</v>
      </c>
    </row>
    <row r="88" spans="12:12" x14ac:dyDescent="0.25">
      <c r="L88">
        <v>0</v>
      </c>
    </row>
    <row r="89" spans="12:12" x14ac:dyDescent="0.25">
      <c r="L89">
        <v>16</v>
      </c>
    </row>
    <row r="90" spans="12:12" x14ac:dyDescent="0.25">
      <c r="L90">
        <v>269</v>
      </c>
    </row>
    <row r="91" spans="12:12" x14ac:dyDescent="0.25">
      <c r="L91">
        <v>0</v>
      </c>
    </row>
    <row r="92" spans="12:12" x14ac:dyDescent="0.25">
      <c r="L92">
        <v>39</v>
      </c>
    </row>
    <row r="93" spans="12:12" x14ac:dyDescent="0.25">
      <c r="L93">
        <v>246</v>
      </c>
    </row>
    <row r="94" spans="12:12" x14ac:dyDescent="0.25">
      <c r="L94">
        <v>0</v>
      </c>
    </row>
    <row r="95" spans="12:12" x14ac:dyDescent="0.25">
      <c r="L95">
        <v>35</v>
      </c>
    </row>
    <row r="96" spans="12:12" x14ac:dyDescent="0.25">
      <c r="L96">
        <v>272</v>
      </c>
    </row>
    <row r="97" spans="12:12" x14ac:dyDescent="0.25">
      <c r="L97">
        <v>0</v>
      </c>
    </row>
    <row r="98" spans="12:12" x14ac:dyDescent="0.25">
      <c r="L98">
        <v>33</v>
      </c>
    </row>
    <row r="99" spans="12:12" x14ac:dyDescent="0.25">
      <c r="L99">
        <v>274</v>
      </c>
    </row>
    <row r="100" spans="12:12" x14ac:dyDescent="0.25">
      <c r="L100">
        <v>0</v>
      </c>
    </row>
    <row r="101" spans="12:12" x14ac:dyDescent="0.25">
      <c r="L101">
        <v>22</v>
      </c>
    </row>
    <row r="102" spans="12:12" x14ac:dyDescent="0.25">
      <c r="L102">
        <v>280</v>
      </c>
    </row>
    <row r="103" spans="12:12" x14ac:dyDescent="0.25">
      <c r="L103">
        <v>15</v>
      </c>
    </row>
    <row r="104" spans="12:12" x14ac:dyDescent="0.25">
      <c r="L104">
        <v>17</v>
      </c>
    </row>
    <row r="105" spans="12:12" x14ac:dyDescent="0.25">
      <c r="L105">
        <v>324</v>
      </c>
    </row>
    <row r="106" spans="12:12" x14ac:dyDescent="0.25">
      <c r="L106">
        <v>0</v>
      </c>
    </row>
    <row r="107" spans="12:12" x14ac:dyDescent="0.25">
      <c r="L107">
        <v>6</v>
      </c>
    </row>
    <row r="108" spans="12:12" x14ac:dyDescent="0.25">
      <c r="L108">
        <v>383</v>
      </c>
    </row>
    <row r="109" spans="12:12" x14ac:dyDescent="0.25">
      <c r="L109">
        <v>20</v>
      </c>
    </row>
    <row r="110" spans="12:12" x14ac:dyDescent="0.25">
      <c r="L110">
        <v>67</v>
      </c>
    </row>
    <row r="111" spans="12:12" x14ac:dyDescent="0.25">
      <c r="L111">
        <v>433</v>
      </c>
    </row>
    <row r="112" spans="12:12" x14ac:dyDescent="0.25">
      <c r="L112">
        <v>0</v>
      </c>
    </row>
    <row r="113" spans="12:12" x14ac:dyDescent="0.25">
      <c r="L113">
        <v>118</v>
      </c>
    </row>
    <row r="114" spans="12:12" x14ac:dyDescent="0.25">
      <c r="L114">
        <v>440</v>
      </c>
    </row>
    <row r="115" spans="12:12" x14ac:dyDescent="0.25">
      <c r="L115">
        <v>0</v>
      </c>
    </row>
    <row r="116" spans="12:12" x14ac:dyDescent="0.25">
      <c r="L116">
        <v>88</v>
      </c>
    </row>
    <row r="117" spans="12:12" x14ac:dyDescent="0.25">
      <c r="L117">
        <v>545</v>
      </c>
    </row>
    <row r="118" spans="12:12" x14ac:dyDescent="0.25">
      <c r="L118">
        <v>0</v>
      </c>
    </row>
    <row r="119" spans="12:12" x14ac:dyDescent="0.25">
      <c r="L119">
        <v>97</v>
      </c>
    </row>
    <row r="120" spans="12:12" x14ac:dyDescent="0.25">
      <c r="L120">
        <v>791</v>
      </c>
    </row>
    <row r="121" spans="12:12" x14ac:dyDescent="0.25">
      <c r="L121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1895-2FEB-4E08-A08D-2F9A4AD93E1B}">
  <dimension ref="A1:DM106"/>
  <sheetViews>
    <sheetView workbookViewId="0">
      <selection activeCell="H2" sqref="H2:I36"/>
    </sheetView>
  </sheetViews>
  <sheetFormatPr defaultColWidth="9.140625" defaultRowHeight="15" x14ac:dyDescent="0.25"/>
  <sheetData>
    <row r="1" spans="1:117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17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106">TRANSPOSE(_xlfn.ANCHORARRAY(M2))</f>
        <v>3</v>
      </c>
      <c r="M2" cm="1">
        <f t="array" ref="M2:DM2">TRANSPOSE(_xlfn.FILTERXML("&lt;t&gt;&lt;s&gt;" &amp; _xlfn.TEXTJOIN("&lt;/s&gt;&lt;s&gt;",,D2:F36)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1</v>
      </c>
      <c r="BG2">
        <v>170</v>
      </c>
      <c r="BH2">
        <v>0</v>
      </c>
      <c r="BI2">
        <v>1</v>
      </c>
      <c r="BJ2">
        <v>198</v>
      </c>
      <c r="BK2">
        <v>0</v>
      </c>
      <c r="BL2">
        <v>35</v>
      </c>
      <c r="BM2">
        <v>168</v>
      </c>
      <c r="BN2">
        <v>0</v>
      </c>
      <c r="BO2">
        <v>69</v>
      </c>
      <c r="BP2">
        <v>172</v>
      </c>
      <c r="BQ2">
        <v>0</v>
      </c>
      <c r="BR2">
        <v>61</v>
      </c>
      <c r="BS2">
        <v>181</v>
      </c>
      <c r="BT2">
        <v>0</v>
      </c>
      <c r="BU2">
        <v>55</v>
      </c>
      <c r="BV2">
        <v>191</v>
      </c>
      <c r="BW2">
        <v>0</v>
      </c>
      <c r="BX2">
        <v>184</v>
      </c>
      <c r="BY2">
        <v>67</v>
      </c>
      <c r="BZ2">
        <v>0</v>
      </c>
      <c r="CA2">
        <v>145</v>
      </c>
      <c r="CB2">
        <v>115</v>
      </c>
      <c r="CC2">
        <v>0</v>
      </c>
      <c r="CD2">
        <v>2</v>
      </c>
      <c r="CE2">
        <v>271</v>
      </c>
      <c r="CF2">
        <v>0</v>
      </c>
      <c r="CG2">
        <v>16</v>
      </c>
      <c r="CH2">
        <v>269</v>
      </c>
      <c r="CI2">
        <v>0</v>
      </c>
      <c r="CJ2">
        <v>39</v>
      </c>
      <c r="CK2">
        <v>246</v>
      </c>
      <c r="CL2">
        <v>0</v>
      </c>
      <c r="CM2">
        <v>35</v>
      </c>
      <c r="CN2">
        <v>272</v>
      </c>
      <c r="CO2">
        <v>0</v>
      </c>
      <c r="CP2">
        <v>33</v>
      </c>
      <c r="CQ2">
        <v>274</v>
      </c>
      <c r="CR2">
        <v>0</v>
      </c>
      <c r="CS2">
        <v>22</v>
      </c>
      <c r="CT2">
        <v>280</v>
      </c>
      <c r="CU2">
        <v>15</v>
      </c>
      <c r="CV2">
        <v>17</v>
      </c>
      <c r="CW2">
        <v>324</v>
      </c>
      <c r="CX2">
        <v>0</v>
      </c>
      <c r="CY2">
        <v>6</v>
      </c>
      <c r="CZ2">
        <v>383</v>
      </c>
      <c r="DA2">
        <v>20</v>
      </c>
      <c r="DB2">
        <v>67</v>
      </c>
      <c r="DC2">
        <v>433</v>
      </c>
      <c r="DD2">
        <v>0</v>
      </c>
      <c r="DE2">
        <v>118</v>
      </c>
      <c r="DF2">
        <v>440</v>
      </c>
      <c r="DG2">
        <v>0</v>
      </c>
      <c r="DH2">
        <v>88</v>
      </c>
      <c r="DI2">
        <v>545</v>
      </c>
      <c r="DJ2">
        <v>0</v>
      </c>
      <c r="DK2">
        <v>97</v>
      </c>
      <c r="DL2">
        <v>791</v>
      </c>
      <c r="DM2">
        <v>23</v>
      </c>
    </row>
    <row r="3" spans="1:117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17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17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17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17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17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6" si="0">IF(AND(D8&gt;=1,E8&gt;=1,F8&gt;=1),1,0)</f>
        <v>1</v>
      </c>
      <c r="K8">
        <f t="shared" ref="K8:K36" si="1">IF((D8&gt;=1)+(E8&gt;=1)+(F8&gt;=1)&gt;=2,1,0)</f>
        <v>1</v>
      </c>
      <c r="L8">
        <v>20</v>
      </c>
    </row>
    <row r="9" spans="1:117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17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17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17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17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17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17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17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37</v>
      </c>
      <c r="C17">
        <v>7194802793</v>
      </c>
      <c r="D17">
        <v>1</v>
      </c>
      <c r="E17">
        <v>170</v>
      </c>
      <c r="F17">
        <v>0</v>
      </c>
      <c r="G17">
        <v>171</v>
      </c>
      <c r="H17">
        <v>4.6333570000000002</v>
      </c>
      <c r="I17">
        <v>-74.117958999999999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107</v>
      </c>
      <c r="C18">
        <v>7194867044</v>
      </c>
      <c r="D18">
        <v>1</v>
      </c>
      <c r="E18">
        <v>198</v>
      </c>
      <c r="F18">
        <v>0</v>
      </c>
      <c r="G18">
        <v>199</v>
      </c>
      <c r="H18">
        <v>4.6975939999999996</v>
      </c>
      <c r="I18">
        <v>-74.139038999999997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36</v>
      </c>
      <c r="C19">
        <v>7194862665</v>
      </c>
      <c r="D19">
        <v>35</v>
      </c>
      <c r="E19">
        <v>168</v>
      </c>
      <c r="F19">
        <v>0</v>
      </c>
      <c r="G19">
        <v>203</v>
      </c>
      <c r="H19">
        <v>4.6331030000000002</v>
      </c>
      <c r="I19">
        <v>-74.156147000000004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154</v>
      </c>
      <c r="C20">
        <v>7194865820</v>
      </c>
      <c r="D20">
        <v>69</v>
      </c>
      <c r="E20">
        <v>172</v>
      </c>
      <c r="F20">
        <v>0</v>
      </c>
      <c r="G20">
        <v>241</v>
      </c>
      <c r="H20">
        <v>4.7753509999999997</v>
      </c>
      <c r="I20">
        <v>-74.14049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73</v>
      </c>
      <c r="C21">
        <v>7194830323</v>
      </c>
      <c r="D21">
        <v>61</v>
      </c>
      <c r="E21">
        <v>181</v>
      </c>
      <c r="F21">
        <v>0</v>
      </c>
      <c r="G21">
        <v>242</v>
      </c>
      <c r="H21">
        <v>4.6688489999999998</v>
      </c>
      <c r="I21">
        <v>-74.056647999999996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120</v>
      </c>
      <c r="C22">
        <v>7194838368</v>
      </c>
      <c r="D22">
        <v>55</v>
      </c>
      <c r="E22">
        <v>191</v>
      </c>
      <c r="F22">
        <v>0</v>
      </c>
      <c r="G22">
        <v>246</v>
      </c>
      <c r="H22">
        <v>4.7064570000000003</v>
      </c>
      <c r="I22">
        <v>-74.051321999999999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112</v>
      </c>
      <c r="C23">
        <v>7194865133</v>
      </c>
      <c r="D23">
        <v>184</v>
      </c>
      <c r="E23">
        <v>67</v>
      </c>
      <c r="F23">
        <v>0</v>
      </c>
      <c r="G23">
        <v>251</v>
      </c>
      <c r="H23">
        <v>4.7021290000000002</v>
      </c>
      <c r="I23">
        <v>-74.082421999999994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25</v>
      </c>
      <c r="C24">
        <v>7194860631</v>
      </c>
      <c r="D24">
        <v>145</v>
      </c>
      <c r="E24">
        <v>115</v>
      </c>
      <c r="F24">
        <v>0</v>
      </c>
      <c r="G24">
        <v>260</v>
      </c>
      <c r="H24">
        <v>4.6269130000000001</v>
      </c>
      <c r="I24">
        <v>-74.064733000000004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43</v>
      </c>
      <c r="C25">
        <v>7194868925</v>
      </c>
      <c r="D25">
        <v>2</v>
      </c>
      <c r="E25">
        <v>271</v>
      </c>
      <c r="F25">
        <v>0</v>
      </c>
      <c r="G25">
        <v>273</v>
      </c>
      <c r="H25">
        <v>4.6410830000000001</v>
      </c>
      <c r="I25">
        <v>-74.114226000000002</v>
      </c>
      <c r="J25">
        <f t="shared" si="0"/>
        <v>0</v>
      </c>
      <c r="K25">
        <f t="shared" si="1"/>
        <v>1</v>
      </c>
      <c r="L25">
        <v>9</v>
      </c>
    </row>
    <row r="26" spans="1:12" x14ac:dyDescent="0.25">
      <c r="A26">
        <v>31</v>
      </c>
      <c r="C26">
        <v>7194865698</v>
      </c>
      <c r="D26">
        <v>16</v>
      </c>
      <c r="E26">
        <v>269</v>
      </c>
      <c r="F26">
        <v>0</v>
      </c>
      <c r="G26">
        <v>285</v>
      </c>
      <c r="H26">
        <v>4.6304800000000004</v>
      </c>
      <c r="I26">
        <v>-74.092879999999994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70</v>
      </c>
      <c r="C27">
        <v>7194865583</v>
      </c>
      <c r="D27">
        <v>39</v>
      </c>
      <c r="E27">
        <v>246</v>
      </c>
      <c r="F27">
        <v>0</v>
      </c>
      <c r="G27">
        <v>285</v>
      </c>
      <c r="H27">
        <v>4.6646330000000003</v>
      </c>
      <c r="I27">
        <v>-74.078505000000007</v>
      </c>
      <c r="J27">
        <f t="shared" si="0"/>
        <v>0</v>
      </c>
      <c r="K27">
        <f t="shared" si="1"/>
        <v>1</v>
      </c>
      <c r="L27">
        <v>71</v>
      </c>
    </row>
    <row r="28" spans="1:12" x14ac:dyDescent="0.25">
      <c r="A28">
        <v>83</v>
      </c>
      <c r="C28">
        <v>7194837268</v>
      </c>
      <c r="D28">
        <v>35</v>
      </c>
      <c r="E28">
        <v>272</v>
      </c>
      <c r="F28">
        <v>0</v>
      </c>
      <c r="G28">
        <v>307</v>
      </c>
      <c r="H28">
        <v>4.678858</v>
      </c>
      <c r="I28">
        <v>-74.127341999999999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145</v>
      </c>
      <c r="C29">
        <v>7194868164</v>
      </c>
      <c r="D29">
        <v>33</v>
      </c>
      <c r="E29">
        <v>274</v>
      </c>
      <c r="F29">
        <v>0</v>
      </c>
      <c r="G29">
        <v>307</v>
      </c>
      <c r="H29">
        <v>4.7471449999999997</v>
      </c>
      <c r="I29">
        <v>-74.036225999999999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133</v>
      </c>
      <c r="C30">
        <v>7194863853</v>
      </c>
      <c r="D30">
        <v>22</v>
      </c>
      <c r="E30">
        <v>280</v>
      </c>
      <c r="F30">
        <v>15</v>
      </c>
      <c r="G30">
        <v>317</v>
      </c>
      <c r="H30">
        <v>4.7324999999999999</v>
      </c>
      <c r="I30">
        <v>-74.065488000000002</v>
      </c>
      <c r="J30">
        <f t="shared" si="0"/>
        <v>1</v>
      </c>
      <c r="K30">
        <f t="shared" si="1"/>
        <v>1</v>
      </c>
      <c r="L30">
        <v>78</v>
      </c>
    </row>
    <row r="31" spans="1:12" x14ac:dyDescent="0.25">
      <c r="A31">
        <v>23</v>
      </c>
      <c r="C31">
        <v>7194841659</v>
      </c>
      <c r="D31">
        <v>17</v>
      </c>
      <c r="E31">
        <v>324</v>
      </c>
      <c r="F31">
        <v>0</v>
      </c>
      <c r="G31">
        <v>341</v>
      </c>
      <c r="H31">
        <v>4.6263579999999997</v>
      </c>
      <c r="I31">
        <v>-74.102267999999995</v>
      </c>
      <c r="J31">
        <f t="shared" si="0"/>
        <v>0</v>
      </c>
      <c r="K31">
        <f t="shared" si="1"/>
        <v>1</v>
      </c>
      <c r="L31">
        <v>18</v>
      </c>
    </row>
    <row r="32" spans="1:12" x14ac:dyDescent="0.25">
      <c r="A32">
        <v>162</v>
      </c>
      <c r="C32">
        <v>7194866333</v>
      </c>
      <c r="D32">
        <v>6</v>
      </c>
      <c r="E32">
        <v>383</v>
      </c>
      <c r="F32">
        <v>20</v>
      </c>
      <c r="G32">
        <v>409</v>
      </c>
      <c r="H32">
        <v>4.7967040000000001</v>
      </c>
      <c r="I32">
        <v>-74.210752999999997</v>
      </c>
      <c r="J32">
        <f t="shared" si="0"/>
        <v>1</v>
      </c>
      <c r="K32">
        <f t="shared" si="1"/>
        <v>1</v>
      </c>
      <c r="L32">
        <v>2</v>
      </c>
    </row>
    <row r="33" spans="1:12" x14ac:dyDescent="0.25">
      <c r="A33">
        <v>109</v>
      </c>
      <c r="C33">
        <v>7194836905</v>
      </c>
      <c r="D33">
        <v>67</v>
      </c>
      <c r="E33">
        <v>433</v>
      </c>
      <c r="F33">
        <v>0</v>
      </c>
      <c r="G33">
        <v>500</v>
      </c>
      <c r="H33">
        <v>4.6984589999999997</v>
      </c>
      <c r="I33">
        <v>-74.072867000000002</v>
      </c>
      <c r="J33">
        <f t="shared" si="0"/>
        <v>0</v>
      </c>
      <c r="K33">
        <f t="shared" si="1"/>
        <v>1</v>
      </c>
      <c r="L33">
        <v>112</v>
      </c>
    </row>
    <row r="34" spans="1:12" x14ac:dyDescent="0.25">
      <c r="A34">
        <v>48</v>
      </c>
      <c r="C34">
        <v>7194838571</v>
      </c>
      <c r="D34">
        <v>118</v>
      </c>
      <c r="E34">
        <v>440</v>
      </c>
      <c r="F34">
        <v>0</v>
      </c>
      <c r="G34">
        <v>558</v>
      </c>
      <c r="H34">
        <v>4.6471479999999996</v>
      </c>
      <c r="I34">
        <v>-74.105746999999994</v>
      </c>
      <c r="J34">
        <f t="shared" si="0"/>
        <v>0</v>
      </c>
      <c r="K34">
        <f t="shared" si="1"/>
        <v>1</v>
      </c>
      <c r="L34">
        <v>5</v>
      </c>
    </row>
    <row r="35" spans="1:12" x14ac:dyDescent="0.25">
      <c r="A35">
        <v>24</v>
      </c>
      <c r="C35">
        <v>7194865812</v>
      </c>
      <c r="D35">
        <v>88</v>
      </c>
      <c r="E35">
        <v>545</v>
      </c>
      <c r="F35">
        <v>0</v>
      </c>
      <c r="G35">
        <v>633</v>
      </c>
      <c r="H35">
        <v>4.626544</v>
      </c>
      <c r="I35">
        <v>-74.104303000000002</v>
      </c>
      <c r="J35">
        <f t="shared" si="0"/>
        <v>0</v>
      </c>
      <c r="K35">
        <f t="shared" si="1"/>
        <v>1</v>
      </c>
      <c r="L35">
        <v>78</v>
      </c>
    </row>
    <row r="36" spans="1:12" x14ac:dyDescent="0.25">
      <c r="A36">
        <v>82</v>
      </c>
      <c r="C36">
        <v>7194867721</v>
      </c>
      <c r="D36">
        <v>97</v>
      </c>
      <c r="E36">
        <v>791</v>
      </c>
      <c r="F36">
        <v>23</v>
      </c>
      <c r="G36">
        <v>911</v>
      </c>
      <c r="H36">
        <v>4.6772159999999996</v>
      </c>
      <c r="I36">
        <v>-74.137641000000002</v>
      </c>
      <c r="J36">
        <f t="shared" si="0"/>
        <v>1</v>
      </c>
      <c r="K36">
        <f t="shared" si="1"/>
        <v>1</v>
      </c>
      <c r="L36">
        <v>37</v>
      </c>
    </row>
    <row r="37" spans="1:12" x14ac:dyDescent="0.25">
      <c r="L37">
        <v>12</v>
      </c>
    </row>
    <row r="38" spans="1:12" x14ac:dyDescent="0.25">
      <c r="L38">
        <v>17</v>
      </c>
    </row>
    <row r="39" spans="1:12" x14ac:dyDescent="0.25">
      <c r="L39">
        <v>120</v>
      </c>
    </row>
    <row r="40" spans="1:12" x14ac:dyDescent="0.25">
      <c r="L40">
        <v>2</v>
      </c>
    </row>
    <row r="41" spans="1:12" x14ac:dyDescent="0.25">
      <c r="L41">
        <v>24</v>
      </c>
    </row>
    <row r="42" spans="1:12" x14ac:dyDescent="0.25">
      <c r="L42">
        <v>76</v>
      </c>
    </row>
    <row r="43" spans="1:12" x14ac:dyDescent="0.25">
      <c r="L43">
        <v>39</v>
      </c>
    </row>
    <row r="44" spans="1:12" x14ac:dyDescent="0.25">
      <c r="L44">
        <v>16</v>
      </c>
    </row>
    <row r="45" spans="1:12" x14ac:dyDescent="0.25">
      <c r="L45">
        <v>145</v>
      </c>
    </row>
    <row r="46" spans="1:12" x14ac:dyDescent="0.25">
      <c r="L46">
        <v>10</v>
      </c>
    </row>
    <row r="47" spans="1:12" x14ac:dyDescent="0.25">
      <c r="L47">
        <v>1</v>
      </c>
    </row>
    <row r="48" spans="1:12" x14ac:dyDescent="0.25">
      <c r="L48">
        <v>170</v>
      </c>
    </row>
    <row r="49" spans="12:12" x14ac:dyDescent="0.25">
      <c r="L49">
        <v>0</v>
      </c>
    </row>
    <row r="50" spans="12:12" x14ac:dyDescent="0.25">
      <c r="L50">
        <v>1</v>
      </c>
    </row>
    <row r="51" spans="12:12" x14ac:dyDescent="0.25">
      <c r="L51">
        <v>198</v>
      </c>
    </row>
    <row r="52" spans="12:12" x14ac:dyDescent="0.25">
      <c r="L52">
        <v>0</v>
      </c>
    </row>
    <row r="53" spans="12:12" x14ac:dyDescent="0.25">
      <c r="L53">
        <v>35</v>
      </c>
    </row>
    <row r="54" spans="12:12" x14ac:dyDescent="0.25">
      <c r="L54">
        <v>168</v>
      </c>
    </row>
    <row r="55" spans="12:12" x14ac:dyDescent="0.25">
      <c r="L55">
        <v>0</v>
      </c>
    </row>
    <row r="56" spans="12:12" x14ac:dyDescent="0.25">
      <c r="L56">
        <v>69</v>
      </c>
    </row>
    <row r="57" spans="12:12" x14ac:dyDescent="0.25">
      <c r="L57">
        <v>172</v>
      </c>
    </row>
    <row r="58" spans="12:12" x14ac:dyDescent="0.25">
      <c r="L58">
        <v>0</v>
      </c>
    </row>
    <row r="59" spans="12:12" x14ac:dyDescent="0.25">
      <c r="L59">
        <v>61</v>
      </c>
    </row>
    <row r="60" spans="12:12" x14ac:dyDescent="0.25">
      <c r="L60">
        <v>181</v>
      </c>
    </row>
    <row r="61" spans="12:12" x14ac:dyDescent="0.25">
      <c r="L61">
        <v>0</v>
      </c>
    </row>
    <row r="62" spans="12:12" x14ac:dyDescent="0.25">
      <c r="L62">
        <v>55</v>
      </c>
    </row>
    <row r="63" spans="12:12" x14ac:dyDescent="0.25">
      <c r="L63">
        <v>191</v>
      </c>
    </row>
    <row r="64" spans="12:12" x14ac:dyDescent="0.25">
      <c r="L64">
        <v>0</v>
      </c>
    </row>
    <row r="65" spans="12:12" x14ac:dyDescent="0.25">
      <c r="L65">
        <v>184</v>
      </c>
    </row>
    <row r="66" spans="12:12" x14ac:dyDescent="0.25">
      <c r="L66">
        <v>67</v>
      </c>
    </row>
    <row r="67" spans="12:12" x14ac:dyDescent="0.25">
      <c r="L67">
        <v>0</v>
      </c>
    </row>
    <row r="68" spans="12:12" x14ac:dyDescent="0.25">
      <c r="L68">
        <v>145</v>
      </c>
    </row>
    <row r="69" spans="12:12" x14ac:dyDescent="0.25">
      <c r="L69">
        <v>115</v>
      </c>
    </row>
    <row r="70" spans="12:12" x14ac:dyDescent="0.25">
      <c r="L70">
        <v>0</v>
      </c>
    </row>
    <row r="71" spans="12:12" x14ac:dyDescent="0.25">
      <c r="L71">
        <v>2</v>
      </c>
    </row>
    <row r="72" spans="12:12" x14ac:dyDescent="0.25">
      <c r="L72">
        <v>271</v>
      </c>
    </row>
    <row r="73" spans="12:12" x14ac:dyDescent="0.25">
      <c r="L73">
        <v>0</v>
      </c>
    </row>
    <row r="74" spans="12:12" x14ac:dyDescent="0.25">
      <c r="L74">
        <v>16</v>
      </c>
    </row>
    <row r="75" spans="12:12" x14ac:dyDescent="0.25">
      <c r="L75">
        <v>269</v>
      </c>
    </row>
    <row r="76" spans="12:12" x14ac:dyDescent="0.25">
      <c r="L76">
        <v>0</v>
      </c>
    </row>
    <row r="77" spans="12:12" x14ac:dyDescent="0.25">
      <c r="L77">
        <v>39</v>
      </c>
    </row>
    <row r="78" spans="12:12" x14ac:dyDescent="0.25">
      <c r="L78">
        <v>246</v>
      </c>
    </row>
    <row r="79" spans="12:12" x14ac:dyDescent="0.25">
      <c r="L79">
        <v>0</v>
      </c>
    </row>
    <row r="80" spans="12:12" x14ac:dyDescent="0.25">
      <c r="L80">
        <v>35</v>
      </c>
    </row>
    <row r="81" spans="12:12" x14ac:dyDescent="0.25">
      <c r="L81">
        <v>272</v>
      </c>
    </row>
    <row r="82" spans="12:12" x14ac:dyDescent="0.25">
      <c r="L82">
        <v>0</v>
      </c>
    </row>
    <row r="83" spans="12:12" x14ac:dyDescent="0.25">
      <c r="L83">
        <v>33</v>
      </c>
    </row>
    <row r="84" spans="12:12" x14ac:dyDescent="0.25">
      <c r="L84">
        <v>274</v>
      </c>
    </row>
    <row r="85" spans="12:12" x14ac:dyDescent="0.25">
      <c r="L85">
        <v>0</v>
      </c>
    </row>
    <row r="86" spans="12:12" x14ac:dyDescent="0.25">
      <c r="L86">
        <v>22</v>
      </c>
    </row>
    <row r="87" spans="12:12" x14ac:dyDescent="0.25">
      <c r="L87">
        <v>280</v>
      </c>
    </row>
    <row r="88" spans="12:12" x14ac:dyDescent="0.25">
      <c r="L88">
        <v>15</v>
      </c>
    </row>
    <row r="89" spans="12:12" x14ac:dyDescent="0.25">
      <c r="L89">
        <v>17</v>
      </c>
    </row>
    <row r="90" spans="12:12" x14ac:dyDescent="0.25">
      <c r="L90">
        <v>324</v>
      </c>
    </row>
    <row r="91" spans="12:12" x14ac:dyDescent="0.25">
      <c r="L91">
        <v>0</v>
      </c>
    </row>
    <row r="92" spans="12:12" x14ac:dyDescent="0.25">
      <c r="L92">
        <v>6</v>
      </c>
    </row>
    <row r="93" spans="12:12" x14ac:dyDescent="0.25">
      <c r="L93">
        <v>383</v>
      </c>
    </row>
    <row r="94" spans="12:12" x14ac:dyDescent="0.25">
      <c r="L94">
        <v>20</v>
      </c>
    </row>
    <row r="95" spans="12:12" x14ac:dyDescent="0.25">
      <c r="L95">
        <v>67</v>
      </c>
    </row>
    <row r="96" spans="12:12" x14ac:dyDescent="0.25">
      <c r="L96">
        <v>433</v>
      </c>
    </row>
    <row r="97" spans="12:12" x14ac:dyDescent="0.25">
      <c r="L97">
        <v>0</v>
      </c>
    </row>
    <row r="98" spans="12:12" x14ac:dyDescent="0.25">
      <c r="L98">
        <v>118</v>
      </c>
    </row>
    <row r="99" spans="12:12" x14ac:dyDescent="0.25">
      <c r="L99">
        <v>440</v>
      </c>
    </row>
    <row r="100" spans="12:12" x14ac:dyDescent="0.25">
      <c r="L100">
        <v>0</v>
      </c>
    </row>
    <row r="101" spans="12:12" x14ac:dyDescent="0.25">
      <c r="L101">
        <v>88</v>
      </c>
    </row>
    <row r="102" spans="12:12" x14ac:dyDescent="0.25">
      <c r="L102">
        <v>545</v>
      </c>
    </row>
    <row r="103" spans="12:12" x14ac:dyDescent="0.25">
      <c r="L103">
        <v>0</v>
      </c>
    </row>
    <row r="104" spans="12:12" x14ac:dyDescent="0.25">
      <c r="L104">
        <v>97</v>
      </c>
    </row>
    <row r="105" spans="12:12" x14ac:dyDescent="0.25">
      <c r="L105">
        <v>791</v>
      </c>
    </row>
    <row r="106" spans="12:12" x14ac:dyDescent="0.25">
      <c r="L106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F308-2D2A-4F8A-A8FF-C2EC1DA92B49}">
  <dimension ref="A1:CX91"/>
  <sheetViews>
    <sheetView topLeftCell="A21" workbookViewId="0">
      <selection activeCell="E35" sqref="E35"/>
    </sheetView>
  </sheetViews>
  <sheetFormatPr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D32">
        <f>SUM(D2:D31)</f>
        <v>1290</v>
      </c>
      <c r="E32">
        <f t="shared" ref="E32:F32" si="2">SUM(E2:E31)</f>
        <v>5640</v>
      </c>
      <c r="F32">
        <f t="shared" si="2"/>
        <v>301</v>
      </c>
      <c r="L32">
        <v>2</v>
      </c>
    </row>
    <row r="33" spans="4:12" x14ac:dyDescent="0.25">
      <c r="D33">
        <f>MIN(D2:D31)</f>
        <v>2</v>
      </c>
      <c r="E33">
        <f>MIN(E2:E31)</f>
        <v>3</v>
      </c>
      <c r="F33">
        <f>MIN(F2:F31)</f>
        <v>0</v>
      </c>
      <c r="L33">
        <v>112</v>
      </c>
    </row>
    <row r="34" spans="4:12" x14ac:dyDescent="0.25">
      <c r="D34">
        <f>MAX(D2:D31)</f>
        <v>184</v>
      </c>
      <c r="E34">
        <f>MAX(E2:E31)</f>
        <v>791</v>
      </c>
      <c r="F34">
        <f>MAX(F2:F31)</f>
        <v>60</v>
      </c>
      <c r="L34">
        <v>5</v>
      </c>
    </row>
    <row r="35" spans="4:12" x14ac:dyDescent="0.25">
      <c r="L35">
        <v>78</v>
      </c>
    </row>
    <row r="36" spans="4:12" x14ac:dyDescent="0.25">
      <c r="L36">
        <v>37</v>
      </c>
    </row>
    <row r="37" spans="4:12" x14ac:dyDescent="0.25">
      <c r="L37">
        <v>12</v>
      </c>
    </row>
    <row r="38" spans="4:12" x14ac:dyDescent="0.25">
      <c r="L38">
        <v>17</v>
      </c>
    </row>
    <row r="39" spans="4:12" x14ac:dyDescent="0.25">
      <c r="L39">
        <v>120</v>
      </c>
    </row>
    <row r="40" spans="4:12" x14ac:dyDescent="0.25">
      <c r="L40">
        <v>2</v>
      </c>
    </row>
    <row r="41" spans="4:12" x14ac:dyDescent="0.25">
      <c r="L41">
        <v>24</v>
      </c>
    </row>
    <row r="42" spans="4:12" x14ac:dyDescent="0.25">
      <c r="L42">
        <v>76</v>
      </c>
    </row>
    <row r="43" spans="4:12" x14ac:dyDescent="0.25">
      <c r="L43">
        <v>39</v>
      </c>
    </row>
    <row r="44" spans="4:12" x14ac:dyDescent="0.25">
      <c r="L44">
        <v>16</v>
      </c>
    </row>
    <row r="45" spans="4:12" x14ac:dyDescent="0.25">
      <c r="L45">
        <v>145</v>
      </c>
    </row>
    <row r="46" spans="4:12" x14ac:dyDescent="0.25">
      <c r="L46">
        <v>10</v>
      </c>
    </row>
    <row r="47" spans="4:12" x14ac:dyDescent="0.25">
      <c r="L47">
        <v>55</v>
      </c>
    </row>
    <row r="48" spans="4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4162-F2B7-4D5C-96F8-4C61E3E606C1}">
  <dimension ref="A1:CX91"/>
  <sheetViews>
    <sheetView workbookViewId="0">
      <selection activeCell="L2" sqref="L2"/>
    </sheetView>
  </sheetViews>
  <sheetFormatPr defaultColWidth="9.140625" defaultRowHeight="15" x14ac:dyDescent="0.25"/>
  <sheetData>
    <row r="1" spans="1:102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102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91">TRANSPOSE(_xlfn.ANCHORARRAY(M2))</f>
        <v>3</v>
      </c>
      <c r="M2" cm="1">
        <f t="array" ref="M2:CX2">TRANSPOSE(_xlfn.FILTERXML("&lt;t&gt;&lt;s&gt;" &amp; _xlfn.TEXTJOIN("&lt;/s&gt;&lt;s&gt;",,D2:F31)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55</v>
      </c>
      <c r="BG2">
        <v>191</v>
      </c>
      <c r="BH2">
        <v>0</v>
      </c>
      <c r="BI2">
        <v>184</v>
      </c>
      <c r="BJ2">
        <v>67</v>
      </c>
      <c r="BK2">
        <v>0</v>
      </c>
      <c r="BL2">
        <v>145</v>
      </c>
      <c r="BM2">
        <v>115</v>
      </c>
      <c r="BN2">
        <v>0</v>
      </c>
      <c r="BO2">
        <v>2</v>
      </c>
      <c r="BP2">
        <v>271</v>
      </c>
      <c r="BQ2">
        <v>0</v>
      </c>
      <c r="BR2">
        <v>16</v>
      </c>
      <c r="BS2">
        <v>269</v>
      </c>
      <c r="BT2">
        <v>0</v>
      </c>
      <c r="BU2">
        <v>39</v>
      </c>
      <c r="BV2">
        <v>246</v>
      </c>
      <c r="BW2">
        <v>0</v>
      </c>
      <c r="BX2">
        <v>35</v>
      </c>
      <c r="BY2">
        <v>272</v>
      </c>
      <c r="BZ2">
        <v>0</v>
      </c>
      <c r="CA2">
        <v>33</v>
      </c>
      <c r="CB2">
        <v>274</v>
      </c>
      <c r="CC2">
        <v>0</v>
      </c>
      <c r="CD2">
        <v>22</v>
      </c>
      <c r="CE2">
        <v>280</v>
      </c>
      <c r="CF2">
        <v>15</v>
      </c>
      <c r="CG2">
        <v>17</v>
      </c>
      <c r="CH2">
        <v>324</v>
      </c>
      <c r="CI2">
        <v>0</v>
      </c>
      <c r="CJ2">
        <v>6</v>
      </c>
      <c r="CK2">
        <v>383</v>
      </c>
      <c r="CL2">
        <v>20</v>
      </c>
      <c r="CM2">
        <v>67</v>
      </c>
      <c r="CN2">
        <v>433</v>
      </c>
      <c r="CO2">
        <v>0</v>
      </c>
      <c r="CP2">
        <v>118</v>
      </c>
      <c r="CQ2">
        <v>440</v>
      </c>
      <c r="CR2">
        <v>0</v>
      </c>
      <c r="CS2">
        <v>88</v>
      </c>
      <c r="CT2">
        <v>545</v>
      </c>
      <c r="CU2">
        <v>0</v>
      </c>
      <c r="CV2">
        <v>97</v>
      </c>
      <c r="CW2">
        <v>791</v>
      </c>
      <c r="CX2">
        <v>23</v>
      </c>
    </row>
    <row r="3" spans="1:102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102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102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102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102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102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f t="shared" ref="J8:J31" si="0">IF(AND(D8&gt;=1,E8&gt;=1,F8&gt;=1),1,0)</f>
        <v>1</v>
      </c>
      <c r="K8">
        <f t="shared" ref="K8:K31" si="1">IF((D8&gt;=1)+(E8&gt;=1)+(F8&gt;=1)&gt;=2,1,0)</f>
        <v>1</v>
      </c>
      <c r="L8">
        <v>20</v>
      </c>
    </row>
    <row r="9" spans="1:102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f t="shared" si="0"/>
        <v>1</v>
      </c>
      <c r="K9">
        <f t="shared" si="1"/>
        <v>1</v>
      </c>
      <c r="L9">
        <v>3</v>
      </c>
    </row>
    <row r="10" spans="1:102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f t="shared" si="0"/>
        <v>1</v>
      </c>
      <c r="K10">
        <f t="shared" si="1"/>
        <v>1</v>
      </c>
      <c r="L10">
        <v>20</v>
      </c>
    </row>
    <row r="11" spans="1:102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f t="shared" si="0"/>
        <v>1</v>
      </c>
      <c r="K11">
        <f t="shared" si="1"/>
        <v>1</v>
      </c>
      <c r="L11">
        <v>21</v>
      </c>
    </row>
    <row r="12" spans="1:102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f t="shared" si="0"/>
        <v>1</v>
      </c>
      <c r="K12">
        <f t="shared" si="1"/>
        <v>1</v>
      </c>
      <c r="L12">
        <v>12</v>
      </c>
    </row>
    <row r="13" spans="1:102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f t="shared" si="0"/>
        <v>1</v>
      </c>
      <c r="K13">
        <f t="shared" si="1"/>
        <v>1</v>
      </c>
      <c r="L13">
        <v>14</v>
      </c>
    </row>
    <row r="14" spans="1:102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f t="shared" si="0"/>
        <v>1</v>
      </c>
      <c r="K14">
        <f t="shared" si="1"/>
        <v>1</v>
      </c>
      <c r="L14">
        <v>33</v>
      </c>
    </row>
    <row r="15" spans="1:102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f t="shared" si="0"/>
        <v>1</v>
      </c>
      <c r="K15">
        <f t="shared" si="1"/>
        <v>1</v>
      </c>
      <c r="L15">
        <v>11</v>
      </c>
    </row>
    <row r="16" spans="1:102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f t="shared" si="0"/>
        <v>1</v>
      </c>
      <c r="K16">
        <f t="shared" si="1"/>
        <v>1</v>
      </c>
      <c r="L16">
        <v>10</v>
      </c>
    </row>
    <row r="17" spans="1:12" x14ac:dyDescent="0.25">
      <c r="A17">
        <v>120</v>
      </c>
      <c r="C17">
        <v>7194838368</v>
      </c>
      <c r="D17">
        <v>55</v>
      </c>
      <c r="E17">
        <v>191</v>
      </c>
      <c r="F17">
        <v>0</v>
      </c>
      <c r="G17">
        <v>246</v>
      </c>
      <c r="H17">
        <v>4.7064570000000003</v>
      </c>
      <c r="I17">
        <v>-74.051321999999999</v>
      </c>
      <c r="J17">
        <f t="shared" si="0"/>
        <v>0</v>
      </c>
      <c r="K17">
        <f t="shared" si="1"/>
        <v>1</v>
      </c>
      <c r="L17">
        <v>24</v>
      </c>
    </row>
    <row r="18" spans="1:12" x14ac:dyDescent="0.25">
      <c r="A18">
        <v>112</v>
      </c>
      <c r="C18">
        <v>7194865133</v>
      </c>
      <c r="D18">
        <v>184</v>
      </c>
      <c r="E18">
        <v>67</v>
      </c>
      <c r="F18">
        <v>0</v>
      </c>
      <c r="G18">
        <v>251</v>
      </c>
      <c r="H18">
        <v>4.7021290000000002</v>
      </c>
      <c r="I18">
        <v>-74.082421999999994</v>
      </c>
      <c r="J18">
        <f t="shared" si="0"/>
        <v>0</v>
      </c>
      <c r="K18">
        <f t="shared" si="1"/>
        <v>1</v>
      </c>
      <c r="L18">
        <v>27</v>
      </c>
    </row>
    <row r="19" spans="1:12" x14ac:dyDescent="0.25">
      <c r="A19">
        <v>25</v>
      </c>
      <c r="C19">
        <v>7194860631</v>
      </c>
      <c r="D19">
        <v>145</v>
      </c>
      <c r="E19">
        <v>115</v>
      </c>
      <c r="F19">
        <v>0</v>
      </c>
      <c r="G19">
        <v>260</v>
      </c>
      <c r="H19">
        <v>4.6269130000000001</v>
      </c>
      <c r="I19">
        <v>-74.064733000000004</v>
      </c>
      <c r="J19">
        <f t="shared" si="0"/>
        <v>0</v>
      </c>
      <c r="K19">
        <f t="shared" si="1"/>
        <v>1</v>
      </c>
      <c r="L19">
        <v>9</v>
      </c>
    </row>
    <row r="20" spans="1:12" x14ac:dyDescent="0.25">
      <c r="A20">
        <v>43</v>
      </c>
      <c r="C20">
        <v>7194868925</v>
      </c>
      <c r="D20">
        <v>2</v>
      </c>
      <c r="E20">
        <v>271</v>
      </c>
      <c r="F20">
        <v>0</v>
      </c>
      <c r="G20">
        <v>273</v>
      </c>
      <c r="H20">
        <v>4.6410830000000001</v>
      </c>
      <c r="I20">
        <v>-74.114226000000002</v>
      </c>
      <c r="J20">
        <f t="shared" si="0"/>
        <v>0</v>
      </c>
      <c r="K20">
        <f t="shared" si="1"/>
        <v>1</v>
      </c>
      <c r="L20">
        <v>19</v>
      </c>
    </row>
    <row r="21" spans="1:12" x14ac:dyDescent="0.25">
      <c r="A21">
        <v>31</v>
      </c>
      <c r="C21">
        <v>7194865698</v>
      </c>
      <c r="D21">
        <v>16</v>
      </c>
      <c r="E21">
        <v>269</v>
      </c>
      <c r="F21">
        <v>0</v>
      </c>
      <c r="G21">
        <v>285</v>
      </c>
      <c r="H21">
        <v>4.6304800000000004</v>
      </c>
      <c r="I21">
        <v>-74.092879999999994</v>
      </c>
      <c r="J21">
        <f t="shared" si="0"/>
        <v>0</v>
      </c>
      <c r="K21">
        <f t="shared" si="1"/>
        <v>1</v>
      </c>
      <c r="L21">
        <v>9</v>
      </c>
    </row>
    <row r="22" spans="1:12" x14ac:dyDescent="0.25">
      <c r="A22">
        <v>70</v>
      </c>
      <c r="C22">
        <v>7194865583</v>
      </c>
      <c r="D22">
        <v>39</v>
      </c>
      <c r="E22">
        <v>246</v>
      </c>
      <c r="F22">
        <v>0</v>
      </c>
      <c r="G22">
        <v>285</v>
      </c>
      <c r="H22">
        <v>4.6646330000000003</v>
      </c>
      <c r="I22">
        <v>-74.078505000000007</v>
      </c>
      <c r="J22">
        <f t="shared" si="0"/>
        <v>0</v>
      </c>
      <c r="K22">
        <f t="shared" si="1"/>
        <v>1</v>
      </c>
      <c r="L22">
        <v>60</v>
      </c>
    </row>
    <row r="23" spans="1:12" x14ac:dyDescent="0.25">
      <c r="A23">
        <v>83</v>
      </c>
      <c r="C23">
        <v>7194837268</v>
      </c>
      <c r="D23">
        <v>35</v>
      </c>
      <c r="E23">
        <v>272</v>
      </c>
      <c r="F23">
        <v>0</v>
      </c>
      <c r="G23">
        <v>307</v>
      </c>
      <c r="H23">
        <v>4.678858</v>
      </c>
      <c r="I23">
        <v>-74.127341999999999</v>
      </c>
      <c r="J23">
        <f t="shared" si="0"/>
        <v>0</v>
      </c>
      <c r="K23">
        <f t="shared" si="1"/>
        <v>1</v>
      </c>
      <c r="L23">
        <v>52</v>
      </c>
    </row>
    <row r="24" spans="1:12" x14ac:dyDescent="0.25">
      <c r="A24">
        <v>145</v>
      </c>
      <c r="C24">
        <v>7194868164</v>
      </c>
      <c r="D24">
        <v>33</v>
      </c>
      <c r="E24">
        <v>274</v>
      </c>
      <c r="F24">
        <v>0</v>
      </c>
      <c r="G24">
        <v>307</v>
      </c>
      <c r="H24">
        <v>4.7471449999999997</v>
      </c>
      <c r="I24">
        <v>-74.036225999999999</v>
      </c>
      <c r="J24">
        <f t="shared" si="0"/>
        <v>0</v>
      </c>
      <c r="K24">
        <f t="shared" si="1"/>
        <v>1</v>
      </c>
      <c r="L24">
        <v>28</v>
      </c>
    </row>
    <row r="25" spans="1:12" x14ac:dyDescent="0.25">
      <c r="A25">
        <v>133</v>
      </c>
      <c r="C25">
        <v>7194863853</v>
      </c>
      <c r="D25">
        <v>22</v>
      </c>
      <c r="E25">
        <v>280</v>
      </c>
      <c r="F25">
        <v>15</v>
      </c>
      <c r="G25">
        <v>317</v>
      </c>
      <c r="H25">
        <v>4.7324999999999999</v>
      </c>
      <c r="I25">
        <v>-74.065488000000002</v>
      </c>
      <c r="J25">
        <f t="shared" si="0"/>
        <v>1</v>
      </c>
      <c r="K25">
        <f t="shared" si="1"/>
        <v>1</v>
      </c>
      <c r="L25">
        <v>9</v>
      </c>
    </row>
    <row r="26" spans="1:12" x14ac:dyDescent="0.25">
      <c r="A26">
        <v>23</v>
      </c>
      <c r="C26">
        <v>7194841659</v>
      </c>
      <c r="D26">
        <v>17</v>
      </c>
      <c r="E26">
        <v>324</v>
      </c>
      <c r="F26">
        <v>0</v>
      </c>
      <c r="G26">
        <v>341</v>
      </c>
      <c r="H26">
        <v>4.6263579999999997</v>
      </c>
      <c r="I26">
        <v>-74.102267999999995</v>
      </c>
      <c r="J26">
        <f t="shared" si="0"/>
        <v>0</v>
      </c>
      <c r="K26">
        <f t="shared" si="1"/>
        <v>1</v>
      </c>
      <c r="L26">
        <v>29</v>
      </c>
    </row>
    <row r="27" spans="1:12" x14ac:dyDescent="0.25">
      <c r="A27">
        <v>162</v>
      </c>
      <c r="C27">
        <v>7194866333</v>
      </c>
      <c r="D27">
        <v>6</v>
      </c>
      <c r="E27">
        <v>383</v>
      </c>
      <c r="F27">
        <v>20</v>
      </c>
      <c r="G27">
        <v>409</v>
      </c>
      <c r="H27">
        <v>4.7967040000000001</v>
      </c>
      <c r="I27">
        <v>-74.210752999999997</v>
      </c>
      <c r="J27">
        <f t="shared" si="0"/>
        <v>1</v>
      </c>
      <c r="K27">
        <f t="shared" si="1"/>
        <v>1</v>
      </c>
      <c r="L27">
        <v>71</v>
      </c>
    </row>
    <row r="28" spans="1:12" x14ac:dyDescent="0.25">
      <c r="A28">
        <v>109</v>
      </c>
      <c r="C28">
        <v>7194836905</v>
      </c>
      <c r="D28">
        <v>67</v>
      </c>
      <c r="E28">
        <v>433</v>
      </c>
      <c r="F28">
        <v>0</v>
      </c>
      <c r="G28">
        <v>500</v>
      </c>
      <c r="H28">
        <v>4.6984589999999997</v>
      </c>
      <c r="I28">
        <v>-74.072867000000002</v>
      </c>
      <c r="J28">
        <f t="shared" si="0"/>
        <v>0</v>
      </c>
      <c r="K28">
        <f t="shared" si="1"/>
        <v>1</v>
      </c>
      <c r="L28">
        <v>9</v>
      </c>
    </row>
    <row r="29" spans="1:12" x14ac:dyDescent="0.25">
      <c r="A29">
        <v>48</v>
      </c>
      <c r="C29">
        <v>7194838571</v>
      </c>
      <c r="D29">
        <v>118</v>
      </c>
      <c r="E29">
        <v>440</v>
      </c>
      <c r="F29">
        <v>0</v>
      </c>
      <c r="G29">
        <v>558</v>
      </c>
      <c r="H29">
        <v>4.6471479999999996</v>
      </c>
      <c r="I29">
        <v>-74.105746999999994</v>
      </c>
      <c r="J29">
        <f t="shared" si="0"/>
        <v>0</v>
      </c>
      <c r="K29">
        <f t="shared" si="1"/>
        <v>1</v>
      </c>
      <c r="L29">
        <v>22</v>
      </c>
    </row>
    <row r="30" spans="1:12" x14ac:dyDescent="0.25">
      <c r="A30">
        <v>24</v>
      </c>
      <c r="C30">
        <v>7194865812</v>
      </c>
      <c r="D30">
        <v>88</v>
      </c>
      <c r="E30">
        <v>545</v>
      </c>
      <c r="F30">
        <v>0</v>
      </c>
      <c r="G30">
        <v>633</v>
      </c>
      <c r="H30">
        <v>4.626544</v>
      </c>
      <c r="I30">
        <v>-74.104303000000002</v>
      </c>
      <c r="J30">
        <f t="shared" si="0"/>
        <v>0</v>
      </c>
      <c r="K30">
        <f t="shared" si="1"/>
        <v>1</v>
      </c>
      <c r="L30">
        <v>78</v>
      </c>
    </row>
    <row r="31" spans="1:12" x14ac:dyDescent="0.25">
      <c r="A31">
        <v>82</v>
      </c>
      <c r="C31">
        <v>7194867721</v>
      </c>
      <c r="D31">
        <v>97</v>
      </c>
      <c r="E31">
        <v>791</v>
      </c>
      <c r="F31">
        <v>23</v>
      </c>
      <c r="G31">
        <v>911</v>
      </c>
      <c r="H31">
        <v>4.6772159999999996</v>
      </c>
      <c r="I31">
        <v>-74.137641000000002</v>
      </c>
      <c r="J31">
        <f t="shared" si="0"/>
        <v>1</v>
      </c>
      <c r="K31">
        <f t="shared" si="1"/>
        <v>1</v>
      </c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55</v>
      </c>
    </row>
    <row r="48" spans="12:12" x14ac:dyDescent="0.25">
      <c r="L48">
        <v>191</v>
      </c>
    </row>
    <row r="49" spans="12:12" x14ac:dyDescent="0.25">
      <c r="L49">
        <v>0</v>
      </c>
    </row>
    <row r="50" spans="12:12" x14ac:dyDescent="0.25">
      <c r="L50">
        <v>184</v>
      </c>
    </row>
    <row r="51" spans="12:12" x14ac:dyDescent="0.25">
      <c r="L51">
        <v>67</v>
      </c>
    </row>
    <row r="52" spans="12:12" x14ac:dyDescent="0.25">
      <c r="L52">
        <v>0</v>
      </c>
    </row>
    <row r="53" spans="12:12" x14ac:dyDescent="0.25">
      <c r="L53">
        <v>145</v>
      </c>
    </row>
    <row r="54" spans="12:12" x14ac:dyDescent="0.25">
      <c r="L54">
        <v>115</v>
      </c>
    </row>
    <row r="55" spans="12:12" x14ac:dyDescent="0.25">
      <c r="L55">
        <v>0</v>
      </c>
    </row>
    <row r="56" spans="12:12" x14ac:dyDescent="0.25">
      <c r="L56">
        <v>2</v>
      </c>
    </row>
    <row r="57" spans="12:12" x14ac:dyDescent="0.25">
      <c r="L57">
        <v>271</v>
      </c>
    </row>
    <row r="58" spans="12:12" x14ac:dyDescent="0.25">
      <c r="L58">
        <v>0</v>
      </c>
    </row>
    <row r="59" spans="12:12" x14ac:dyDescent="0.25">
      <c r="L59">
        <v>16</v>
      </c>
    </row>
    <row r="60" spans="12:12" x14ac:dyDescent="0.25">
      <c r="L60">
        <v>269</v>
      </c>
    </row>
    <row r="61" spans="12:12" x14ac:dyDescent="0.25">
      <c r="L61">
        <v>0</v>
      </c>
    </row>
    <row r="62" spans="12:12" x14ac:dyDescent="0.25">
      <c r="L62">
        <v>39</v>
      </c>
    </row>
    <row r="63" spans="12:12" x14ac:dyDescent="0.25">
      <c r="L63">
        <v>246</v>
      </c>
    </row>
    <row r="64" spans="12:12" x14ac:dyDescent="0.25">
      <c r="L64">
        <v>0</v>
      </c>
    </row>
    <row r="65" spans="12:12" x14ac:dyDescent="0.25">
      <c r="L65">
        <v>35</v>
      </c>
    </row>
    <row r="66" spans="12:12" x14ac:dyDescent="0.25">
      <c r="L66">
        <v>272</v>
      </c>
    </row>
    <row r="67" spans="12:12" x14ac:dyDescent="0.25">
      <c r="L67">
        <v>0</v>
      </c>
    </row>
    <row r="68" spans="12:12" x14ac:dyDescent="0.25">
      <c r="L68">
        <v>33</v>
      </c>
    </row>
    <row r="69" spans="12:12" x14ac:dyDescent="0.25">
      <c r="L69">
        <v>274</v>
      </c>
    </row>
    <row r="70" spans="12:12" x14ac:dyDescent="0.25">
      <c r="L70">
        <v>0</v>
      </c>
    </row>
    <row r="71" spans="12:12" x14ac:dyDescent="0.25">
      <c r="L71">
        <v>22</v>
      </c>
    </row>
    <row r="72" spans="12:12" x14ac:dyDescent="0.25">
      <c r="L72">
        <v>280</v>
      </c>
    </row>
    <row r="73" spans="12:12" x14ac:dyDescent="0.25">
      <c r="L73">
        <v>15</v>
      </c>
    </row>
    <row r="74" spans="12:12" x14ac:dyDescent="0.25">
      <c r="L74">
        <v>17</v>
      </c>
    </row>
    <row r="75" spans="12:12" x14ac:dyDescent="0.25">
      <c r="L75">
        <v>324</v>
      </c>
    </row>
    <row r="76" spans="12:12" x14ac:dyDescent="0.25">
      <c r="L76">
        <v>0</v>
      </c>
    </row>
    <row r="77" spans="12:12" x14ac:dyDescent="0.25">
      <c r="L77">
        <v>6</v>
      </c>
    </row>
    <row r="78" spans="12:12" x14ac:dyDescent="0.25">
      <c r="L78">
        <v>383</v>
      </c>
    </row>
    <row r="79" spans="12:12" x14ac:dyDescent="0.25">
      <c r="L79">
        <v>20</v>
      </c>
    </row>
    <row r="80" spans="12:12" x14ac:dyDescent="0.25">
      <c r="L80">
        <v>67</v>
      </c>
    </row>
    <row r="81" spans="12:12" x14ac:dyDescent="0.25">
      <c r="L81">
        <v>433</v>
      </c>
    </row>
    <row r="82" spans="12:12" x14ac:dyDescent="0.25">
      <c r="L82">
        <v>0</v>
      </c>
    </row>
    <row r="83" spans="12:12" x14ac:dyDescent="0.25">
      <c r="L83">
        <v>118</v>
      </c>
    </row>
    <row r="84" spans="12:12" x14ac:dyDescent="0.25">
      <c r="L84">
        <v>440</v>
      </c>
    </row>
    <row r="85" spans="12:12" x14ac:dyDescent="0.25">
      <c r="L85">
        <v>0</v>
      </c>
    </row>
    <row r="86" spans="12:12" x14ac:dyDescent="0.25">
      <c r="L86">
        <v>88</v>
      </c>
    </row>
    <row r="87" spans="12:12" x14ac:dyDescent="0.25">
      <c r="L87">
        <v>545</v>
      </c>
    </row>
    <row r="88" spans="12:12" x14ac:dyDescent="0.25">
      <c r="L88">
        <v>0</v>
      </c>
    </row>
    <row r="89" spans="12:12" x14ac:dyDescent="0.25">
      <c r="L89">
        <v>97</v>
      </c>
    </row>
    <row r="90" spans="12:12" x14ac:dyDescent="0.25">
      <c r="L90">
        <v>791</v>
      </c>
    </row>
    <row r="91" spans="12:12" x14ac:dyDescent="0.25">
      <c r="L91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0332-5132-47CE-AFC3-EE4D936318D9}">
  <dimension ref="A1:BN55"/>
  <sheetViews>
    <sheetView workbookViewId="0">
      <selection activeCell="R44" sqref="R44"/>
    </sheetView>
  </sheetViews>
  <sheetFormatPr defaultColWidth="9.140625" defaultRowHeight="15" x14ac:dyDescent="0.25"/>
  <sheetData>
    <row r="1" spans="1:66" x14ac:dyDescent="0.25">
      <c r="A1" t="s">
        <v>20</v>
      </c>
      <c r="B1" t="s">
        <v>22</v>
      </c>
      <c r="C1" t="s">
        <v>19</v>
      </c>
      <c r="D1" t="s">
        <v>15</v>
      </c>
      <c r="E1" t="s">
        <v>16</v>
      </c>
      <c r="F1" t="s">
        <v>17</v>
      </c>
      <c r="G1" t="s">
        <v>21</v>
      </c>
      <c r="H1" t="s">
        <v>10</v>
      </c>
      <c r="I1" t="s">
        <v>9</v>
      </c>
      <c r="J1" t="s">
        <v>24</v>
      </c>
      <c r="K1" t="s">
        <v>25</v>
      </c>
    </row>
    <row r="2" spans="1:66" x14ac:dyDescent="0.25">
      <c r="A2">
        <v>44</v>
      </c>
      <c r="C2">
        <v>7194815329</v>
      </c>
      <c r="D2">
        <v>3</v>
      </c>
      <c r="E2">
        <v>4</v>
      </c>
      <c r="F2">
        <v>12</v>
      </c>
      <c r="G2">
        <v>19</v>
      </c>
      <c r="H2">
        <v>4.6435389999999996</v>
      </c>
      <c r="I2">
        <v>-74.115739000000005</v>
      </c>
      <c r="J2">
        <v>1</v>
      </c>
      <c r="K2">
        <v>1</v>
      </c>
      <c r="L2" cm="1">
        <f t="array" ref="L2:L55">TRANSPOSE(_xlfn.ANCHORARRAY(M2))</f>
        <v>3</v>
      </c>
      <c r="M2" cm="1">
        <f t="array" ref="M2:BN2">TRANSPOSE(_xlfn.FILTERXML("&lt;t&gt;&lt;s&gt;" &amp; _xlfn.TEXTJOIN("&lt;/s&gt;&lt;s&gt;",,D2:F19) &amp; "&lt;/s&gt;&lt;/t&gt;", "//s"))</f>
        <v>3</v>
      </c>
      <c r="N2">
        <v>4</v>
      </c>
      <c r="O2">
        <v>12</v>
      </c>
      <c r="P2">
        <v>6</v>
      </c>
      <c r="Q2">
        <v>6</v>
      </c>
      <c r="R2">
        <v>14</v>
      </c>
      <c r="S2">
        <v>20</v>
      </c>
      <c r="T2">
        <v>3</v>
      </c>
      <c r="U2">
        <v>20</v>
      </c>
      <c r="V2">
        <v>21</v>
      </c>
      <c r="W2">
        <v>12</v>
      </c>
      <c r="X2">
        <v>14</v>
      </c>
      <c r="Y2">
        <v>33</v>
      </c>
      <c r="Z2">
        <v>11</v>
      </c>
      <c r="AA2">
        <v>10</v>
      </c>
      <c r="AB2">
        <v>24</v>
      </c>
      <c r="AC2">
        <v>27</v>
      </c>
      <c r="AD2">
        <v>9</v>
      </c>
      <c r="AE2">
        <v>19</v>
      </c>
      <c r="AF2">
        <v>9</v>
      </c>
      <c r="AG2">
        <v>60</v>
      </c>
      <c r="AH2">
        <v>52</v>
      </c>
      <c r="AI2">
        <v>28</v>
      </c>
      <c r="AJ2">
        <v>9</v>
      </c>
      <c r="AK2">
        <v>29</v>
      </c>
      <c r="AL2">
        <v>71</v>
      </c>
      <c r="AM2">
        <v>9</v>
      </c>
      <c r="AN2">
        <v>22</v>
      </c>
      <c r="AO2">
        <v>78</v>
      </c>
      <c r="AP2">
        <v>18</v>
      </c>
      <c r="AQ2">
        <v>2</v>
      </c>
      <c r="AR2">
        <v>112</v>
      </c>
      <c r="AS2">
        <v>5</v>
      </c>
      <c r="AT2">
        <v>78</v>
      </c>
      <c r="AU2">
        <v>37</v>
      </c>
      <c r="AV2">
        <v>12</v>
      </c>
      <c r="AW2">
        <v>17</v>
      </c>
      <c r="AX2">
        <v>120</v>
      </c>
      <c r="AY2">
        <v>2</v>
      </c>
      <c r="AZ2">
        <v>24</v>
      </c>
      <c r="BA2">
        <v>76</v>
      </c>
      <c r="BB2">
        <v>39</v>
      </c>
      <c r="BC2">
        <v>16</v>
      </c>
      <c r="BD2">
        <v>145</v>
      </c>
      <c r="BE2">
        <v>10</v>
      </c>
      <c r="BF2">
        <v>22</v>
      </c>
      <c r="BG2">
        <v>280</v>
      </c>
      <c r="BH2">
        <v>15</v>
      </c>
      <c r="BI2">
        <v>6</v>
      </c>
      <c r="BJ2">
        <v>383</v>
      </c>
      <c r="BK2">
        <v>20</v>
      </c>
      <c r="BL2">
        <v>97</v>
      </c>
      <c r="BM2">
        <v>791</v>
      </c>
      <c r="BN2">
        <v>23</v>
      </c>
    </row>
    <row r="3" spans="1:66" x14ac:dyDescent="0.25">
      <c r="A3">
        <v>127</v>
      </c>
      <c r="C3">
        <v>7194862957</v>
      </c>
      <c r="D3">
        <v>6</v>
      </c>
      <c r="E3">
        <v>6</v>
      </c>
      <c r="F3">
        <v>14</v>
      </c>
      <c r="G3">
        <v>26</v>
      </c>
      <c r="H3">
        <v>4.7178300000000002</v>
      </c>
      <c r="I3">
        <v>-74.044098000000005</v>
      </c>
      <c r="J3">
        <v>1</v>
      </c>
      <c r="K3">
        <v>1</v>
      </c>
      <c r="L3">
        <v>4</v>
      </c>
    </row>
    <row r="4" spans="1:66" x14ac:dyDescent="0.25">
      <c r="A4">
        <v>6</v>
      </c>
      <c r="C4">
        <v>7194865029</v>
      </c>
      <c r="D4">
        <v>20</v>
      </c>
      <c r="E4">
        <v>3</v>
      </c>
      <c r="F4">
        <v>20</v>
      </c>
      <c r="G4">
        <v>43</v>
      </c>
      <c r="H4">
        <v>4.5965499999999997</v>
      </c>
      <c r="I4">
        <v>-74.067683000000002</v>
      </c>
      <c r="J4">
        <v>1</v>
      </c>
      <c r="K4">
        <v>1</v>
      </c>
      <c r="L4">
        <v>12</v>
      </c>
    </row>
    <row r="5" spans="1:66" x14ac:dyDescent="0.25">
      <c r="A5">
        <v>96</v>
      </c>
      <c r="C5">
        <v>7194860377</v>
      </c>
      <c r="D5">
        <v>21</v>
      </c>
      <c r="E5">
        <v>12</v>
      </c>
      <c r="F5">
        <v>14</v>
      </c>
      <c r="G5">
        <v>47</v>
      </c>
      <c r="H5">
        <v>4.6924999999999999</v>
      </c>
      <c r="I5">
        <v>-74.068284000000006</v>
      </c>
      <c r="J5">
        <v>1</v>
      </c>
      <c r="K5">
        <v>1</v>
      </c>
      <c r="L5">
        <v>6</v>
      </c>
    </row>
    <row r="6" spans="1:66" x14ac:dyDescent="0.25">
      <c r="A6">
        <v>79</v>
      </c>
      <c r="C6">
        <v>7194873485</v>
      </c>
      <c r="D6">
        <v>33</v>
      </c>
      <c r="E6">
        <v>11</v>
      </c>
      <c r="F6">
        <v>10</v>
      </c>
      <c r="G6">
        <v>54</v>
      </c>
      <c r="H6">
        <v>4.6733310000000001</v>
      </c>
      <c r="I6">
        <v>-74.053589000000002</v>
      </c>
      <c r="J6">
        <v>1</v>
      </c>
      <c r="K6">
        <v>1</v>
      </c>
      <c r="L6">
        <v>6</v>
      </c>
    </row>
    <row r="7" spans="1:66" x14ac:dyDescent="0.25">
      <c r="A7">
        <v>66</v>
      </c>
      <c r="C7">
        <v>7194866155</v>
      </c>
      <c r="D7">
        <v>24</v>
      </c>
      <c r="E7">
        <v>27</v>
      </c>
      <c r="F7">
        <v>9</v>
      </c>
      <c r="G7">
        <v>60</v>
      </c>
      <c r="H7">
        <v>4.662871</v>
      </c>
      <c r="I7">
        <v>-74.052481999999998</v>
      </c>
      <c r="J7">
        <v>1</v>
      </c>
      <c r="K7">
        <v>1</v>
      </c>
      <c r="L7">
        <v>14</v>
      </c>
    </row>
    <row r="8" spans="1:66" x14ac:dyDescent="0.25">
      <c r="A8">
        <v>163</v>
      </c>
      <c r="C8">
        <v>7194863214</v>
      </c>
      <c r="D8">
        <v>19</v>
      </c>
      <c r="E8">
        <v>9</v>
      </c>
      <c r="F8">
        <v>60</v>
      </c>
      <c r="G8">
        <v>88</v>
      </c>
      <c r="H8">
        <v>4.8022340000000003</v>
      </c>
      <c r="I8">
        <v>-74.044822999999994</v>
      </c>
      <c r="J8">
        <v>1</v>
      </c>
      <c r="K8">
        <v>1</v>
      </c>
      <c r="L8">
        <v>20</v>
      </c>
    </row>
    <row r="9" spans="1:66" x14ac:dyDescent="0.25">
      <c r="A9">
        <v>103</v>
      </c>
      <c r="C9">
        <v>7194859808</v>
      </c>
      <c r="D9">
        <v>52</v>
      </c>
      <c r="E9">
        <v>28</v>
      </c>
      <c r="F9">
        <v>9</v>
      </c>
      <c r="G9">
        <v>89</v>
      </c>
      <c r="H9">
        <v>4.696326</v>
      </c>
      <c r="I9">
        <v>-74.143739999999994</v>
      </c>
      <c r="J9">
        <v>1</v>
      </c>
      <c r="K9">
        <v>1</v>
      </c>
      <c r="L9">
        <v>3</v>
      </c>
    </row>
    <row r="10" spans="1:66" x14ac:dyDescent="0.25">
      <c r="A10">
        <v>55</v>
      </c>
      <c r="C10">
        <v>7194858461</v>
      </c>
      <c r="D10">
        <v>29</v>
      </c>
      <c r="E10">
        <v>71</v>
      </c>
      <c r="F10">
        <v>9</v>
      </c>
      <c r="G10">
        <v>109</v>
      </c>
      <c r="H10">
        <v>4.6540350000000004</v>
      </c>
      <c r="I10">
        <v>-74.043012000000004</v>
      </c>
      <c r="J10">
        <v>1</v>
      </c>
      <c r="K10">
        <v>1</v>
      </c>
      <c r="L10">
        <v>20</v>
      </c>
    </row>
    <row r="11" spans="1:66" x14ac:dyDescent="0.25">
      <c r="A11">
        <v>77</v>
      </c>
      <c r="C11">
        <v>7194869486</v>
      </c>
      <c r="D11">
        <v>22</v>
      </c>
      <c r="E11">
        <v>78</v>
      </c>
      <c r="F11">
        <v>18</v>
      </c>
      <c r="G11">
        <v>118</v>
      </c>
      <c r="H11">
        <v>4.6712829999999999</v>
      </c>
      <c r="I11">
        <v>-74.081180000000003</v>
      </c>
      <c r="J11">
        <v>1</v>
      </c>
      <c r="K11">
        <v>1</v>
      </c>
      <c r="L11">
        <v>21</v>
      </c>
    </row>
    <row r="12" spans="1:66" x14ac:dyDescent="0.25">
      <c r="A12">
        <v>161</v>
      </c>
      <c r="C12">
        <v>7194869635</v>
      </c>
      <c r="D12">
        <v>2</v>
      </c>
      <c r="E12">
        <v>112</v>
      </c>
      <c r="F12">
        <v>5</v>
      </c>
      <c r="G12">
        <v>119</v>
      </c>
      <c r="H12">
        <v>4.7961859999999996</v>
      </c>
      <c r="I12">
        <v>-74.190698999999995</v>
      </c>
      <c r="J12">
        <v>1</v>
      </c>
      <c r="K12">
        <v>1</v>
      </c>
      <c r="L12">
        <v>12</v>
      </c>
    </row>
    <row r="13" spans="1:66" x14ac:dyDescent="0.25">
      <c r="A13">
        <v>4</v>
      </c>
      <c r="C13">
        <v>7194818312</v>
      </c>
      <c r="D13">
        <v>78</v>
      </c>
      <c r="E13">
        <v>37</v>
      </c>
      <c r="F13">
        <v>12</v>
      </c>
      <c r="G13">
        <v>127</v>
      </c>
      <c r="H13">
        <v>4.5831359999999997</v>
      </c>
      <c r="I13">
        <v>-74.105939000000006</v>
      </c>
      <c r="J13">
        <v>1</v>
      </c>
      <c r="K13">
        <v>1</v>
      </c>
      <c r="L13">
        <v>14</v>
      </c>
    </row>
    <row r="14" spans="1:66" x14ac:dyDescent="0.25">
      <c r="A14">
        <v>119</v>
      </c>
      <c r="C14">
        <v>7194838083</v>
      </c>
      <c r="D14">
        <v>17</v>
      </c>
      <c r="E14">
        <v>120</v>
      </c>
      <c r="F14">
        <v>2</v>
      </c>
      <c r="G14">
        <v>139</v>
      </c>
      <c r="H14">
        <v>4.7063329999999999</v>
      </c>
      <c r="I14">
        <v>-74.050922999999997</v>
      </c>
      <c r="J14">
        <v>1</v>
      </c>
      <c r="K14">
        <v>1</v>
      </c>
      <c r="L14">
        <v>33</v>
      </c>
    </row>
    <row r="15" spans="1:66" x14ac:dyDescent="0.25">
      <c r="A15">
        <v>152</v>
      </c>
      <c r="C15">
        <v>7194825918</v>
      </c>
      <c r="D15">
        <v>24</v>
      </c>
      <c r="E15">
        <v>76</v>
      </c>
      <c r="F15">
        <v>39</v>
      </c>
      <c r="G15">
        <v>139</v>
      </c>
      <c r="H15">
        <v>4.7682669999999998</v>
      </c>
      <c r="I15">
        <v>-74.145319000000001</v>
      </c>
      <c r="J15">
        <v>1</v>
      </c>
      <c r="K15">
        <v>1</v>
      </c>
      <c r="L15">
        <v>11</v>
      </c>
    </row>
    <row r="16" spans="1:66" x14ac:dyDescent="0.25">
      <c r="A16">
        <v>28</v>
      </c>
      <c r="C16">
        <v>7194862671</v>
      </c>
      <c r="D16">
        <v>16</v>
      </c>
      <c r="E16">
        <v>145</v>
      </c>
      <c r="F16">
        <v>10</v>
      </c>
      <c r="G16">
        <v>171</v>
      </c>
      <c r="H16">
        <v>4.6292799999999996</v>
      </c>
      <c r="I16">
        <v>-74.105988999999994</v>
      </c>
      <c r="J16">
        <v>1</v>
      </c>
      <c r="K16">
        <v>1</v>
      </c>
      <c r="L16">
        <v>10</v>
      </c>
    </row>
    <row r="17" spans="1:12" x14ac:dyDescent="0.25">
      <c r="A17">
        <v>133</v>
      </c>
      <c r="C17">
        <v>7194863853</v>
      </c>
      <c r="D17">
        <v>22</v>
      </c>
      <c r="E17">
        <v>280</v>
      </c>
      <c r="F17">
        <v>15</v>
      </c>
      <c r="G17">
        <v>317</v>
      </c>
      <c r="H17">
        <v>4.7324999999999999</v>
      </c>
      <c r="I17">
        <v>-74.065488000000002</v>
      </c>
      <c r="J17">
        <v>1</v>
      </c>
      <c r="K17">
        <v>1</v>
      </c>
      <c r="L17">
        <v>24</v>
      </c>
    </row>
    <row r="18" spans="1:12" x14ac:dyDescent="0.25">
      <c r="A18">
        <v>162</v>
      </c>
      <c r="C18">
        <v>7194866333</v>
      </c>
      <c r="D18">
        <v>6</v>
      </c>
      <c r="E18">
        <v>383</v>
      </c>
      <c r="F18">
        <v>20</v>
      </c>
      <c r="G18">
        <v>409</v>
      </c>
      <c r="H18">
        <v>4.7967040000000001</v>
      </c>
      <c r="I18">
        <v>-74.210752999999997</v>
      </c>
      <c r="J18">
        <v>1</v>
      </c>
      <c r="K18">
        <v>1</v>
      </c>
      <c r="L18">
        <v>27</v>
      </c>
    </row>
    <row r="19" spans="1:12" x14ac:dyDescent="0.25">
      <c r="A19">
        <v>82</v>
      </c>
      <c r="C19">
        <v>7194867721</v>
      </c>
      <c r="D19">
        <v>97</v>
      </c>
      <c r="E19">
        <v>791</v>
      </c>
      <c r="F19">
        <v>23</v>
      </c>
      <c r="G19">
        <v>911</v>
      </c>
      <c r="H19">
        <v>4.6772159999999996</v>
      </c>
      <c r="I19">
        <v>-74.137641000000002</v>
      </c>
      <c r="J19">
        <v>1</v>
      </c>
      <c r="K19">
        <v>1</v>
      </c>
      <c r="L19">
        <v>9</v>
      </c>
    </row>
    <row r="20" spans="1:12" x14ac:dyDescent="0.25">
      <c r="L20">
        <v>19</v>
      </c>
    </row>
    <row r="21" spans="1:12" x14ac:dyDescent="0.25">
      <c r="L21">
        <v>9</v>
      </c>
    </row>
    <row r="22" spans="1:12" x14ac:dyDescent="0.25">
      <c r="L22">
        <v>60</v>
      </c>
    </row>
    <row r="23" spans="1:12" x14ac:dyDescent="0.25">
      <c r="L23">
        <v>52</v>
      </c>
    </row>
    <row r="24" spans="1:12" x14ac:dyDescent="0.25">
      <c r="L24">
        <v>28</v>
      </c>
    </row>
    <row r="25" spans="1:12" x14ac:dyDescent="0.25">
      <c r="L25">
        <v>9</v>
      </c>
    </row>
    <row r="26" spans="1:12" x14ac:dyDescent="0.25">
      <c r="L26">
        <v>29</v>
      </c>
    </row>
    <row r="27" spans="1:12" x14ac:dyDescent="0.25">
      <c r="L27">
        <v>71</v>
      </c>
    </row>
    <row r="28" spans="1:12" x14ac:dyDescent="0.25">
      <c r="L28">
        <v>9</v>
      </c>
    </row>
    <row r="29" spans="1:12" x14ac:dyDescent="0.25">
      <c r="L29">
        <v>22</v>
      </c>
    </row>
    <row r="30" spans="1:12" x14ac:dyDescent="0.25">
      <c r="L30">
        <v>78</v>
      </c>
    </row>
    <row r="31" spans="1:12" x14ac:dyDescent="0.25">
      <c r="L31">
        <v>18</v>
      </c>
    </row>
    <row r="32" spans="1:12" x14ac:dyDescent="0.25">
      <c r="L32">
        <v>2</v>
      </c>
    </row>
    <row r="33" spans="12:12" x14ac:dyDescent="0.25">
      <c r="L33">
        <v>112</v>
      </c>
    </row>
    <row r="34" spans="12:12" x14ac:dyDescent="0.25">
      <c r="L34">
        <v>5</v>
      </c>
    </row>
    <row r="35" spans="12:12" x14ac:dyDescent="0.25">
      <c r="L35">
        <v>78</v>
      </c>
    </row>
    <row r="36" spans="12:12" x14ac:dyDescent="0.25">
      <c r="L36">
        <v>37</v>
      </c>
    </row>
    <row r="37" spans="12:12" x14ac:dyDescent="0.25">
      <c r="L37">
        <v>12</v>
      </c>
    </row>
    <row r="38" spans="12:12" x14ac:dyDescent="0.25">
      <c r="L38">
        <v>17</v>
      </c>
    </row>
    <row r="39" spans="12:12" x14ac:dyDescent="0.25">
      <c r="L39">
        <v>120</v>
      </c>
    </row>
    <row r="40" spans="12:12" x14ac:dyDescent="0.25">
      <c r="L40">
        <v>2</v>
      </c>
    </row>
    <row r="41" spans="12:12" x14ac:dyDescent="0.25">
      <c r="L41">
        <v>24</v>
      </c>
    </row>
    <row r="42" spans="12:12" x14ac:dyDescent="0.25">
      <c r="L42">
        <v>76</v>
      </c>
    </row>
    <row r="43" spans="12:12" x14ac:dyDescent="0.25">
      <c r="L43">
        <v>39</v>
      </c>
    </row>
    <row r="44" spans="12:12" x14ac:dyDescent="0.25">
      <c r="L44">
        <v>16</v>
      </c>
    </row>
    <row r="45" spans="12:12" x14ac:dyDescent="0.25">
      <c r="L45">
        <v>145</v>
      </c>
    </row>
    <row r="46" spans="12:12" x14ac:dyDescent="0.25">
      <c r="L46">
        <v>10</v>
      </c>
    </row>
    <row r="47" spans="12:12" x14ac:dyDescent="0.25">
      <c r="L47">
        <v>22</v>
      </c>
    </row>
    <row r="48" spans="12:12" x14ac:dyDescent="0.25">
      <c r="L48">
        <v>280</v>
      </c>
    </row>
    <row r="49" spans="12:12" x14ac:dyDescent="0.25">
      <c r="L49">
        <v>15</v>
      </c>
    </row>
    <row r="50" spans="12:12" x14ac:dyDescent="0.25">
      <c r="L50">
        <v>6</v>
      </c>
    </row>
    <row r="51" spans="12:12" x14ac:dyDescent="0.25">
      <c r="L51">
        <v>383</v>
      </c>
    </row>
    <row r="52" spans="12:12" x14ac:dyDescent="0.25">
      <c r="L52">
        <v>20</v>
      </c>
    </row>
    <row r="53" spans="12:12" x14ac:dyDescent="0.25">
      <c r="L53">
        <v>97</v>
      </c>
    </row>
    <row r="54" spans="12:12" x14ac:dyDescent="0.25">
      <c r="L54">
        <v>791</v>
      </c>
    </row>
    <row r="55" spans="12:12" x14ac:dyDescent="0.25">
      <c r="L5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</vt:lpstr>
      <vt:lpstr>d</vt:lpstr>
      <vt:lpstr>Hoja2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  <vt:lpstr>RAW DATA</vt:lpstr>
      <vt:lpstr>RAW DATA FILTER</vt:lpstr>
      <vt:lpstr>Sheet1</vt:lpstr>
      <vt:lpstr>50</vt:lpstr>
      <vt:lpstr>45</vt:lpstr>
      <vt:lpstr>40</vt:lpstr>
      <vt:lpstr>35</vt:lpstr>
      <vt:lpstr>30</vt:lpstr>
      <vt:lpstr>25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2025-11-24T20:24:26Z</dcterms:modified>
</cp:coreProperties>
</file>